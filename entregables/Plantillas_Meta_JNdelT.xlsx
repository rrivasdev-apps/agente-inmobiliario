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Plantillas Meta" sheetId="2" state="visible" r:id="rId2"/>
    <sheet xmlns:r="http://schemas.openxmlformats.org/officeDocument/2006/relationships" name="Verificación" sheetId="3" state="visible" r:id="rId3"/>
    <sheet xmlns:r="http://schemas.openxmlformats.org/officeDocument/2006/relationships" name="Mensajes del agent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D6B57"/>
        <bgColor rgb="FF00808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7D3"/>
      </left>
      <right style="thin">
        <color rgb="FFD0D7D3"/>
      </right>
      <top style="thin">
        <color rgb="FFD0D7D3"/>
      </top>
      <bottom style="thin">
        <color rgb="FFD0D7D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57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7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UTILITY: sobre una solicitud o transacción del cliente (citas, registro). MARKETING: promoción, reenganche o contenido; Meta puede reclasificar una plantilla.</t>
      </text>
    </comment>
    <comment ref="J4" authorId="0" shapeId="0">
      <text>
        <t>Las plantillas de marketing deben permitir darse de baja; el sistema tendrá que respetar la palabra SALIR.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E5" authorId="0" shapeId="0">
      <text>
        <t>Calculado al generar el archivo: oraciones separadas por punto, signo de interrogación o exclamación.</t>
      </text>
    </comment>
    <comment ref="E6" authorId="0" shapeId="0">
      <text>
        <t>Calculado al generar el archivo: oraciones separadas por punto, signo de interrogación o exclamación.</t>
      </text>
    </comment>
    <comment ref="E7" authorId="0" shapeId="0">
      <text>
        <t>Calculado al generar el archivo: oraciones separadas por punto, signo de interrogación o exclamación.</t>
      </text>
    </comment>
    <comment ref="E8" authorId="0" shapeId="0">
      <text>
        <t>Calculado al generar el archivo: oraciones separadas por punto, signo de interrogación o exclamación.</t>
      </text>
    </comment>
    <comment ref="E9" authorId="0" shapeId="0">
      <text>
        <t>Calculado al generar el archivo: oraciones separadas por punto, signo de interrogación o exclamación.</t>
      </text>
    </comment>
    <comment ref="E10" authorId="0" shapeId="0">
      <text>
        <t>Calculado al generar el archivo: oraciones separadas por punto, signo de interrogación o exclamación.</t>
      </text>
    </comment>
    <comment ref="E11" authorId="0" shapeId="0">
      <text>
        <t>Calculado al generar el archivo: oraciones separadas por punto, signo de interrogación o exclamación.</t>
      </text>
    </comment>
    <comment ref="E12" authorId="0" shapeId="0">
      <text>
        <t>Calculado al generar el archivo: oraciones separadas por punto, signo de interrogación o exclamación.</t>
      </text>
    </comment>
    <comment ref="E13" authorId="0" shapeId="0">
      <text>
        <t>Calculado al generar el archivo: oraciones separadas por punto, signo de interrogación o exclamación.</t>
      </text>
    </comment>
    <comment ref="E14" authorId="0" shapeId="0">
      <text>
        <t>Calculado al generar el archivo: oraciones separadas por punto, signo de interrogación o exclamación.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0" min="1" max="1"/>
    <col width="110" customWidth="1" style="10" min="2" max="2"/>
  </cols>
  <sheetData>
    <row r="1" ht="17.35" customHeight="1" s="11">
      <c r="A1" s="12" t="inlineStr">
        <is>
          <t>Cómo usar este archivo</t>
        </is>
      </c>
    </row>
    <row r="3" ht="33.75" customHeight="1" s="11">
      <c r="A3" s="13" t="inlineStr">
        <is>
          <t>Qué requiere aprobación</t>
        </is>
      </c>
      <c r="B3" s="14" t="inlineStr">
        <is>
          <t>Solo los mensajes que el negocio envía por iniciativa propia o cuando pasaron más de 24 h desde el último mensaje del cliente. Las respuestas del agente dentro de la conversación no la requieren (hoja "Mensajes del agente").</t>
        </is>
      </c>
    </row>
    <row r="4" ht="33.75" customHeight="1" s="11">
      <c r="A4" s="13" t="inlineStr">
        <is>
          <t>Dónde se envían</t>
        </is>
      </c>
      <c r="B4" s="14" t="inlineStr">
        <is>
          <t>WhatsApp Manager → Plantillas de mensajes → Crear plantilla, en la cuenta de WhatsApp Business del número de producción de JNdelT.</t>
        </is>
      </c>
    </row>
    <row r="5" ht="33.75" customHeight="1" s="11">
      <c r="A5" s="13" t="inlineStr">
        <is>
          <t>Orden sugerido</t>
        </is>
      </c>
      <c r="B5" s="14" t="inlineStr">
        <is>
          <t>1) Fase 1: recordatorio de agendar, recordatorio y cambios de cita, retomar conversación. 2) Adicionales: dossier y reenganche, si se aprueban. 3) Futuro: bienvenida de formularios, solo si entran formularios o voz.</t>
        </is>
      </c>
    </row>
    <row r="6" ht="33.75" customHeight="1" s="11">
      <c r="A6" s="13" t="inlineStr">
        <is>
          <t>Columnas a llenar</t>
        </is>
      </c>
      <c r="B6" s="14" t="inlineStr">
        <is>
          <t>Amarillas: Estado en Meta, Fecha de envío y Comentarios de Meta (hoja "Plantillas Meta"), y Aplicar (hoja "Mensajes del agente").</t>
        </is>
      </c>
    </row>
    <row r="7" ht="33.75" customHeight="1" s="11">
      <c r="A7" s="13" t="inlineStr">
        <is>
          <t>Ejemplo de llenado</t>
        </is>
      </c>
      <c r="B7" s="14" t="inlineStr">
        <is>
          <t>Estado en Meta: Aprobada · Fecha de envío: 2026-10-20 · Comentarios de Meta: Reclasificada como MARKETING.</t>
        </is>
      </c>
    </row>
    <row r="8" ht="33.75" customHeight="1" s="11">
      <c r="A8" s="13" t="inlineStr">
        <is>
          <t>Variables</t>
        </is>
      </c>
      <c r="B8" s="14" t="inlineStr">
        <is>
          <t>{{1}} es siempre el primer nombre validado (sin títulos ni nombres genéricos). Meta pide un ejemplo por variable; ya están en la columna "Variables y ejemplos".</t>
        </is>
      </c>
    </row>
    <row r="9" ht="33.75" customHeight="1" s="11">
      <c r="A9" s="13" t="inlineStr">
        <is>
          <t>Fuentes</t>
        </is>
      </c>
      <c r="B9" s="14" t="inlineStr">
        <is>
          <t>Sugerencias de Javier (9 y 13 oct), prompt de Dapta para Lucía (estilo, nombre, objeciones, fechas y horas) y propuesta comercial §4.3: plantillas aprobadas para cualquier mensaje iniciado por el negocio.</t>
        </is>
      </c>
    </row>
    <row r="10" ht="33.75" customHeight="1" s="11">
      <c r="A10" s="13" t="inlineStr">
        <is>
          <t>Pendiente técnico</t>
        </is>
      </c>
      <c r="B10" s="14" t="inlineStr">
        <is>
          <t>Ninguna de estas plantillas se envía todavía: falta construir los envíos programados (recordatorios, seguimiento) y el webhook de citas de GoHighLevel.</t>
        </is>
      </c>
    </row>
    <row r="11">
      <c r="A11" s="13" t="inlineStr">
        <is>
          <t>Revisión 26 oct</t>
        </is>
      </c>
      <c r="B11" s="14" t="inlineStr">
        <is>
          <t>Se aplicaron los cambios en rojo de Javier (columna "Revisión de Javier" en la hoja "Plantillas Meta") y se agregaron 4 plantillas que pide su guion de Lucía (filas 11 a 14). Todas siguen en Borrador: ninguna se ha enviado a Meta.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0" min="1" max="1"/>
    <col width="30" customWidth="1" style="10" min="2" max="2"/>
    <col width="12" customWidth="1" style="10" min="3" max="3"/>
    <col width="16" customWidth="1" style="10" min="4" max="4"/>
    <col width="38" customWidth="1" style="10" min="5" max="5"/>
    <col width="12" customWidth="1" style="10" min="6" max="6"/>
    <col width="16" customWidth="1" style="10" min="7" max="7"/>
    <col width="60" customWidth="1" style="10" min="8" max="8"/>
    <col width="34" customWidth="1" style="10" min="9" max="9"/>
    <col width="24" customWidth="1" style="10" min="10" max="10"/>
    <col width="30" customWidth="1" style="10" min="11" max="11"/>
    <col width="32" customWidth="1" style="10" min="12" max="12"/>
    <col width="40" customWidth="1" style="10" min="13" max="13"/>
    <col width="14" customWidth="1" style="10" min="14" max="14"/>
    <col width="13" customWidth="1" style="10" min="15" max="15"/>
    <col width="28" customWidth="1" style="10" min="16" max="16"/>
    <col width="44" customWidth="1" style="11" min="17" max="17"/>
  </cols>
  <sheetData>
    <row r="1" ht="17.35" customHeight="1" s="11">
      <c r="A1" s="12" t="inlineStr">
        <is>
          <t>Plantillas de WhatsApp para aprobación de Meta — JNdelT Real Estate</t>
        </is>
      </c>
    </row>
    <row r="2" ht="15" customHeight="1" s="11">
      <c r="A2" s="15" t="inlineStr">
        <is>
          <t>Idioma: Español (es). Solo WhatsApp: Instagram no usa plantillas. Las columnas amarillas (Estado en Meta, Fecha de envío, Comentarios de Meta) son para llenar al enviarlas.</t>
        </is>
      </c>
    </row>
    <row r="4" ht="31.5" customHeight="1" s="11">
      <c r="A4" s="16" t="inlineStr">
        <is>
          <t>#</t>
        </is>
      </c>
      <c r="B4" s="16" t="inlineStr">
        <is>
          <t>Nombre de la plantilla</t>
        </is>
      </c>
      <c r="C4" s="16" t="inlineStr">
        <is>
          <t>Categoría</t>
        </is>
      </c>
      <c r="D4" s="16" t="inlineStr">
        <is>
          <t>Prioridad</t>
        </is>
      </c>
      <c r="E4" s="16" t="inlineStr">
        <is>
          <t>Cuándo se envía</t>
        </is>
      </c>
      <c r="F4" s="16" t="inlineStr">
        <is>
          <t>Rol</t>
        </is>
      </c>
      <c r="G4" s="16" t="inlineStr">
        <is>
          <t>Encabezado</t>
        </is>
      </c>
      <c r="H4" s="16" t="inlineStr">
        <is>
          <t>Cuerpo (texto para Meta)</t>
        </is>
      </c>
      <c r="I4" s="16" t="inlineStr">
        <is>
          <t>Variables y ejemplos (Meta los pide)</t>
        </is>
      </c>
      <c r="J4" s="16" t="inlineStr">
        <is>
          <t>Pie de página</t>
        </is>
      </c>
      <c r="K4" s="16" t="inlineStr">
        <is>
          <t>Botones</t>
        </is>
      </c>
      <c r="L4" s="16" t="inlineStr">
        <is>
          <t>Estado en el sistema</t>
        </is>
      </c>
      <c r="M4" s="16" t="inlineStr">
        <is>
          <t>Notas de cumplimiento</t>
        </is>
      </c>
      <c r="N4" s="16" t="inlineStr">
        <is>
          <t>Estado en Meta</t>
        </is>
      </c>
      <c r="O4" s="16" t="inlineStr">
        <is>
          <t>Fecha de envío</t>
        </is>
      </c>
      <c r="P4" s="16" t="inlineStr">
        <is>
          <t>Comentarios de Meta</t>
        </is>
      </c>
      <c r="Q4" s="16" t="inlineStr">
        <is>
          <t>Revisión de Javier (26 oct)</t>
        </is>
      </c>
    </row>
    <row r="5" ht="96" customHeight="1" s="11">
      <c r="A5" s="17" t="n">
        <v>1</v>
      </c>
      <c r="B5" s="18" t="inlineStr">
        <is>
          <t>jndelt_recordatorio_agendar</t>
        </is>
      </c>
      <c r="C5" s="17" t="inlineStr">
        <is>
          <t>UTILITY</t>
        </is>
      </c>
      <c r="D5" s="17" t="inlineStr">
        <is>
          <t>Fase 1 (§4.3)</t>
        </is>
      </c>
      <c r="E5" s="17" t="inlineStr">
        <is>
          <t>Calificó con prioridad alta, se le ofrecieron horarios y pasaron 24 h sin que eligiera. Reemplaza la plantilla interna pendiente_agenda.</t>
        </is>
      </c>
      <c r="F5" s="17" t="inlineStr">
        <is>
          <t>Lucía y Sonia</t>
        </is>
      </c>
      <c r="G5" s="17" t="n"/>
      <c r="H5" s="17" t="inlineStr">
        <is>
          <t>Hola {{1}}, tu registro en JNdelT Real Estate está listo y solo falta reservar la conversación con un asesor. ¿Te muestro los horarios disponibles?</t>
        </is>
      </c>
      <c r="I5" s="17" t="inlineStr">
        <is>
          <t>{{1}} primer nombre = Andrea</t>
        </is>
      </c>
      <c r="J5" s="17" t="n"/>
      <c r="K5" s="17" t="inlineStr">
        <is>
          <t>Respuesta rápida: "Ver horarios" · "Más adelante"</t>
        </is>
      </c>
      <c r="L5" s="17" t="inlineStr">
        <is>
          <t>Por construir: el flujo aún no envía mensajes fuera de la conversación.</t>
        </is>
      </c>
      <c r="M5" s="17" t="inlineStr">
        <is>
          <t>Al tocar "Ver horarios" se reabre la ventana de 24 h y el agente ofrece horarios reales del calendario (Dapta: no proponer horarios inventados).</t>
        </is>
      </c>
      <c r="N5" s="19" t="inlineStr">
        <is>
          <t>Borrador</t>
        </is>
      </c>
      <c r="O5" s="19" t="n"/>
      <c r="P5" s="19" t="n"/>
      <c r="Q5" s="17" t="inlineStr">
        <is>
          <t>Sin cambios.</t>
        </is>
      </c>
    </row>
    <row r="6" ht="96" customHeight="1" s="11">
      <c r="A6" s="17" t="n">
        <v>2</v>
      </c>
      <c r="B6" s="18" t="inlineStr">
        <is>
          <t>jndelt_recordatorio_cita</t>
        </is>
      </c>
      <c r="C6" s="17" t="inlineStr">
        <is>
          <t>UTILITY</t>
        </is>
      </c>
      <c r="D6" s="17" t="inlineStr">
        <is>
          <t>Fase 1 (§4.3)</t>
        </is>
      </c>
      <c r="E6" s="17" t="inlineStr">
        <is>
          <t>24 h antes de una cita confirmada.</t>
        </is>
      </c>
      <c r="F6" s="17" t="inlineStr">
        <is>
          <t>Lucía y Sonia</t>
        </is>
      </c>
      <c r="G6" s="17" t="n"/>
      <c r="H6" s="17" t="inlineStr">
        <is>
          <t>Hola {{1}}, te recordamos tu cita con JNdelT Real Estate el {{2}} a las {{3}}, hora de Colombia, por {{4}}. ¿Nos confirmas que sigue en pie? Si necesitas cambiarla, avísanos por aquí.</t>
        </is>
      </c>
      <c r="I6" s="17" t="inlineStr">
        <is>
          <t>{{1}} = Andrea · {{2}} = martes 14 de octubre · {{3}} = 10:00 a. m. · {{4}} = llamada</t>
        </is>
      </c>
      <c r="J6" s="17" t="n"/>
      <c r="K6" s="17" t="inlineStr">
        <is>
          <t>Respuesta rápida: "Confirmo" · "Necesito cambiarla"</t>
        </is>
      </c>
      <c r="L6" s="17" t="inlineStr">
        <is>
          <t>Por construir (recordatorio programado).</t>
        </is>
      </c>
      <c r="M6" s="17" t="inlineStr">
        <is>
          <t>Fecha en lenguaje natural y hora con a. m./p. m. (Dapta: fechas y horas naturales con periodo del día).</t>
        </is>
      </c>
      <c r="N6" s="19" t="inlineStr">
        <is>
          <t>Borrador</t>
        </is>
      </c>
      <c r="O6" s="19" t="n"/>
      <c r="P6" s="19" t="n"/>
      <c r="Q6" s="17" t="inlineStr">
        <is>
          <t>Javier: "déjame saber sobre este mensaje". Ajustado a "avísanos por aquí" (no mezcla "te recordamos" con "déjame") y se suma su pregunta del guion: "¿Nos confirmas que sigue en pie?".</t>
        </is>
      </c>
    </row>
    <row r="7" ht="96" customHeight="1" s="11">
      <c r="A7" s="17" t="n">
        <v>3</v>
      </c>
      <c r="B7" s="18" t="inlineStr">
        <is>
          <t>jndelt_cita_confirmada</t>
        </is>
      </c>
      <c r="C7" s="17" t="inlineStr">
        <is>
          <t>UTILITY</t>
        </is>
      </c>
      <c r="D7" s="17" t="inlineStr">
        <is>
          <t>Fase 1 (§4.3)</t>
        </is>
      </c>
      <c r="E7" s="17" t="inlineStr">
        <is>
          <t>Cita reservada fuera de la conversación (enlace de GoHighLevel) o confirmada después de 24 h.</t>
        </is>
      </c>
      <c r="F7" s="17" t="inlineStr">
        <is>
          <t>Lucía y Sonia</t>
        </is>
      </c>
      <c r="G7" s="17" t="n"/>
      <c r="H7" s="17" t="inlineStr">
        <is>
          <t>Hola {{1}}, tu cita con JNdelT Real Estate quedó confirmada para el {{2}} a las {{3}}, hora de Colombia, por {{4}}. Nuestro asesor te atenderá en ese momento.</t>
        </is>
      </c>
      <c r="I7" s="17" t="inlineStr">
        <is>
          <t>{{1}} = Andrea · {{2}} = martes 14 de octubre · {{3}} = 10:00 a. m. · {{4}} = videollamada</t>
        </is>
      </c>
      <c r="J7" s="17" t="n"/>
      <c r="K7" s="17" t="inlineStr">
        <is>
          <t>—</t>
        </is>
      </c>
      <c r="L7" s="17" t="inlineStr">
        <is>
          <t>Por construir (webhook de citas de GoHighLevel).</t>
        </is>
      </c>
      <c r="M7" s="17" t="inlineStr">
        <is>
          <t>Solo se envía con la cita confirmada por GoHighLevel (no promete contacto sin cita).</t>
        </is>
      </c>
      <c r="N7" s="19" t="inlineStr">
        <is>
          <t>Borrador</t>
        </is>
      </c>
      <c r="O7" s="19" t="n"/>
      <c r="P7" s="19" t="n"/>
      <c r="Q7" s="17" t="inlineStr">
        <is>
          <t>Aceptado: "Nuestro asesor".</t>
        </is>
      </c>
    </row>
    <row r="8" ht="96" customHeight="1" s="11">
      <c r="A8" s="17" t="n">
        <v>4</v>
      </c>
      <c r="B8" s="18" t="inlineStr">
        <is>
          <t>jndelt_cita_reprogramada</t>
        </is>
      </c>
      <c r="C8" s="17" t="inlineStr">
        <is>
          <t>UTILITY</t>
        </is>
      </c>
      <c r="D8" s="17" t="inlineStr">
        <is>
          <t>Fase 1 (§4.3)</t>
        </is>
      </c>
      <c r="E8" s="17" t="inlineStr">
        <is>
          <t>La cita se movió desde GoHighLevel.</t>
        </is>
      </c>
      <c r="F8" s="17" t="inlineStr">
        <is>
          <t>Lucía y Sonia</t>
        </is>
      </c>
      <c r="G8" s="17" t="n"/>
      <c r="H8" s="17" t="inlineStr">
        <is>
          <t>Hola {{1}}, tu cita con JNdelT Real Estate cambió al {{2}} a las {{3}}, hora de Colombia. Si ese horario no te sirve, responde a este mensaje.</t>
        </is>
      </c>
      <c r="I8" s="17" t="inlineStr">
        <is>
          <t>{{1}} = Andrea · {{2}} = jueves 16 de octubre · {{3}} = 3:00 p. m.</t>
        </is>
      </c>
      <c r="J8" s="17" t="n"/>
      <c r="K8" s="17" t="inlineStr">
        <is>
          <t>Respuesta rápida: "Me sirve" · "Necesito otro horario"</t>
        </is>
      </c>
      <c r="L8" s="17" t="inlineStr">
        <is>
          <t>Por construir (webhook de citas de GoHighLevel).</t>
        </is>
      </c>
      <c r="M8" s="17" t="n"/>
      <c r="N8" s="19" t="inlineStr">
        <is>
          <t>Borrador</t>
        </is>
      </c>
      <c r="O8" s="19" t="n"/>
      <c r="P8" s="19" t="n"/>
      <c r="Q8" s="17" t="inlineStr">
        <is>
          <t>Sin cambios.</t>
        </is>
      </c>
    </row>
    <row r="9" ht="96" customHeight="1" s="11">
      <c r="A9" s="17" t="n">
        <v>5</v>
      </c>
      <c r="B9" s="18" t="inlineStr">
        <is>
          <t>jndelt_cita_cancelada</t>
        </is>
      </c>
      <c r="C9" s="17" t="inlineStr">
        <is>
          <t>UTILITY</t>
        </is>
      </c>
      <c r="D9" s="17" t="inlineStr">
        <is>
          <t>Fase 1 (§4.3)</t>
        </is>
      </c>
      <c r="E9" s="17" t="inlineStr">
        <is>
          <t>La cita se canceló desde GoHighLevel.</t>
        </is>
      </c>
      <c r="F9" s="17" t="inlineStr">
        <is>
          <t>Lucía y Sonia</t>
        </is>
      </c>
      <c r="G9" s="17" t="n"/>
      <c r="H9" s="17" t="inlineStr">
        <is>
          <t>Hola {{1}}, tu cita del {{2}} con JNdelT Real Estate fue cancelada. ¿Quieres que te muestre nuevos horarios?</t>
        </is>
      </c>
      <c r="I9" s="17" t="inlineStr">
        <is>
          <t>{{1}} = Andrea · {{2}} = martes 14 de octubre</t>
        </is>
      </c>
      <c r="J9" s="17" t="n"/>
      <c r="K9" s="17" t="inlineStr">
        <is>
          <t>Respuesta rápida: "Ver horarios" · "Ahora no"</t>
        </is>
      </c>
      <c r="L9" s="17" t="inlineStr">
        <is>
          <t>Por construir (webhook de citas de GoHighLevel).</t>
        </is>
      </c>
      <c r="M9" s="17" t="n"/>
      <c r="N9" s="19" t="inlineStr">
        <is>
          <t>Borrador</t>
        </is>
      </c>
      <c r="O9" s="19" t="n"/>
      <c r="P9" s="19" t="n"/>
      <c r="Q9" s="17" t="inlineStr">
        <is>
          <t>Sin cambios.</t>
        </is>
      </c>
    </row>
    <row r="10" ht="96" customHeight="1" s="11">
      <c r="A10" s="17" t="n">
        <v>6</v>
      </c>
      <c r="B10" s="18" t="inlineStr">
        <is>
          <t>jndelt_retomar_conversacion</t>
        </is>
      </c>
      <c r="C10" s="17" t="inlineStr">
        <is>
          <t>MARKETING</t>
        </is>
      </c>
      <c r="D10" s="17" t="inlineStr">
        <is>
          <t>Fase 1 (§4.3)</t>
        </is>
      </c>
      <c r="E10" s="17" t="inlineStr">
        <is>
          <t>Conversación incompleta: la persona dejó de responder o pidió hablar en otro momento (Dapta: "¿Cuándo sería mejor momento?").</t>
        </is>
      </c>
      <c r="F10" s="17" t="inlineStr">
        <is>
          <t>Lucía y Sonia</t>
        </is>
      </c>
      <c r="G10" s="17" t="n"/>
      <c r="H10" s="17" t="inlineStr">
        <is>
          <t>Hola {{1}}, quedó pendiente terminar tu registro con nosotros en JNdelT Real Estate. ¿Seguimos donde quedamos?</t>
        </is>
      </c>
      <c r="I10" s="17" t="inlineStr">
        <is>
          <t>{{1}} = Andrea</t>
        </is>
      </c>
      <c r="J10" s="17" t="inlineStr">
        <is>
          <t>Responde SALIR para no recibir más mensajes</t>
        </is>
      </c>
      <c r="K10" s="17" t="inlineStr">
        <is>
          <t>Respuesta rápida: "Sí, sigamos" · "Ahora no"</t>
        </is>
      </c>
      <c r="L10" s="17" t="inlineStr">
        <is>
          <t>Por construir (seguimiento programado).</t>
        </is>
      </c>
      <c r="M10" s="17" t="inlineStr">
        <is>
          <t>Meta probablemente la clasifique como marketing; requiere manejar la baja (SALIR).</t>
        </is>
      </c>
      <c r="N10" s="19" t="inlineStr">
        <is>
          <t>Borrador</t>
        </is>
      </c>
      <c r="O10" s="19" t="n"/>
      <c r="P10" s="19" t="n"/>
      <c r="Q10" s="17" t="inlineStr">
        <is>
          <t>Javier: "con nosotros" en lugar de la marca. Se mantienen ambos ("con nosotros en JNdelT Real Estate"): una plantilla MARKETING sin el nombre del negocio tiene más riesgo de rechazo.</t>
        </is>
      </c>
    </row>
    <row r="11" ht="96" customHeight="1" s="11">
      <c r="A11" s="17" t="n">
        <v>7</v>
      </c>
      <c r="B11" s="18" t="inlineStr">
        <is>
          <t>jndelt_dossier</t>
        </is>
      </c>
      <c r="C11" s="17" t="inlineStr">
        <is>
          <t>MARKETING</t>
        </is>
      </c>
      <c r="D11" s="17" t="inlineStr">
        <is>
          <t>Adicional A4 (§5)</t>
        </is>
      </c>
      <c r="E11" s="17" t="inlineStr">
        <is>
          <t>Envío del dossier a prioridad baja o no calificados cuando ya pasaron 24 h.</t>
        </is>
      </c>
      <c r="F11" s="17" t="inlineStr">
        <is>
          <t>Lucía y Sonia</t>
        </is>
      </c>
      <c r="G11" s="17" t="inlineStr">
        <is>
          <t>Documento (PDF del dossier)</t>
        </is>
      </c>
      <c r="H11" s="17" t="inlineStr">
        <is>
          <t>Hola {{1}}, te compartimos información de JNdelT Real Estate: cómo trabajamos, propiedades disponibles y por qué la exclusividad funciona. Cuando quieras avanzar, escríbenos por aquí.</t>
        </is>
      </c>
      <c r="I11" s="17" t="inlineStr">
        <is>
          <t>{{1}} = Andrea · Encabezado: dossier-jndelt.pdf</t>
        </is>
      </c>
      <c r="J11" s="17" t="inlineStr">
        <is>
          <t>Responde SALIR para no recibir más mensajes</t>
        </is>
      </c>
      <c r="K11" s="17" t="inlineStr">
        <is>
          <t>Respuesta rápida: "Quiero avanzar" · "No me interesa"</t>
        </is>
      </c>
      <c r="L11" s="17" t="inlineStr">
        <is>
          <t>Parcial: dentro de las 24 h ya se envía sin plantilla; falta el PDF y el envío posterior.</t>
        </is>
      </c>
      <c r="M11" s="17" t="inlineStr">
        <is>
          <t>Contenido del dossier según Javier: modelo de negocio, propiedades y tips de exclusividad.</t>
        </is>
      </c>
      <c r="N11" s="19" t="inlineStr">
        <is>
          <t>Borrador</t>
        </is>
      </c>
      <c r="O11" s="19" t="n"/>
      <c r="P11" s="19" t="n"/>
      <c r="Q11" s="17" t="inlineStr">
        <is>
          <t>Su propuesta de video (VSL) pasa a una plantilla aparte: jndelt_video_proceso (fila 15). El dossier en PDF queda como estaba.</t>
        </is>
      </c>
    </row>
    <row r="12" ht="96" customHeight="1" s="11">
      <c r="A12" s="17" t="n">
        <v>8</v>
      </c>
      <c r="B12" s="18" t="inlineStr">
        <is>
          <t>jndelt_reenganche</t>
        </is>
      </c>
      <c r="C12" s="17" t="inlineStr">
        <is>
          <t>MARKETING</t>
        </is>
      </c>
      <c r="D12" s="17" t="inlineStr">
        <is>
          <t>Adicional A4 (§5)</t>
        </is>
      </c>
      <c r="E12" s="17" t="inlineStr">
        <is>
          <t>Nutrición: contacto de prioridad baja, a los 30-60 días.</t>
        </is>
      </c>
      <c r="F12" s="17" t="inlineStr">
        <is>
          <t>Lucía y Sonia</t>
        </is>
      </c>
      <c r="G12" s="17" t="n"/>
      <c r="H12" s="17" t="inlineStr">
        <is>
          <t>Hola {{1}}, te escribimos de JNdelT Real Estate. Hace un tiempo nos contaste que estabas pensando en {{2}} una propiedad; ¿sigue en tus planes?</t>
        </is>
      </c>
      <c r="I12" s="17" t="inlineStr">
        <is>
          <t>{{1}} = Andrea · {{2}} = vender</t>
        </is>
      </c>
      <c r="J12" s="17" t="inlineStr">
        <is>
          <t>Responde SALIR para no recibir más mensajes</t>
        </is>
      </c>
      <c r="K12" s="17" t="inlineStr">
        <is>
          <t>Respuesta rápida: "Sí, quiero avanzar" · "Ahora no"</t>
        </is>
      </c>
      <c r="L12" s="17" t="inlineStr">
        <is>
          <t>Por construir (seguimiento programado).</t>
        </is>
      </c>
      <c r="M12" s="17" t="inlineStr">
        <is>
          <t>Fuera de la propuesta (§5: reenganche de archivados). Sin "interesado/a" para no asumir género.</t>
        </is>
      </c>
      <c r="N12" s="19" t="inlineStr">
        <is>
          <t>Borrador</t>
        </is>
      </c>
      <c r="O12" s="19" t="n"/>
      <c r="P12" s="19" t="n"/>
      <c r="Q12" s="17" t="inlineStr">
        <is>
          <t>Javier: "piensas". Ajustado a "estabas pensando en": "hace un tiempo nos contaste que piensas" mezcla tiempos verbales.</t>
        </is>
      </c>
    </row>
    <row r="13" ht="96" customHeight="1" s="11">
      <c r="A13" s="17" t="n">
        <v>9</v>
      </c>
      <c r="B13" s="18" t="inlineStr">
        <is>
          <t>jndelt_bienvenida_formulario_propietario</t>
        </is>
      </c>
      <c r="C13" s="17" t="inlineStr">
        <is>
          <t>UTILITY</t>
        </is>
      </c>
      <c r="D13" s="17" t="inlineStr">
        <is>
          <t>Futuro (formularios o voz)</t>
        </is>
      </c>
      <c r="E13" s="17" t="inlineStr">
        <is>
          <t>Lead que llenó un formulario de Meta para vender o arrendar; primer mensaje del negocio.</t>
        </is>
      </c>
      <c r="F13" s="17" t="inlineStr">
        <is>
          <t>Lucía</t>
        </is>
      </c>
      <c r="G13" s="17" t="n"/>
      <c r="H13" s="17" t="inlineStr">
        <is>
          <t>Hola {{1}}, mucho gusto, soy Lucía, la asistente virtual de JNdelT Real Estate. Gracias por escribirnos sobre tu propiedad. ¿Puedo hacerte unas preguntas breves para orientarte?</t>
        </is>
      </c>
      <c r="I13" s="17" t="inlineStr">
        <is>
          <t>{{1}} = Andrea</t>
        </is>
      </c>
      <c r="J13" s="17" t="n"/>
      <c r="K13" s="17" t="inlineStr">
        <is>
          <t>Respuesta rápida: "Sí, continuemos" · "Más tarde"</t>
        </is>
      </c>
      <c r="L13" s="17" t="inlineStr">
        <is>
          <t>No aplica todavía: el alcance actual es entrante por WhatsApp e Instagram.</t>
        </is>
      </c>
      <c r="M13" s="17" t="inlineStr">
        <is>
          <t>Tomado del flujo de Dapta ("¿Tienes un minuto para responder dos preguntas breves?"). Se presenta como asistente virtual.</t>
        </is>
      </c>
      <c r="N13" s="19" t="inlineStr">
        <is>
          <t>Borrador</t>
        </is>
      </c>
      <c r="O13" s="19" t="n"/>
      <c r="P13" s="19" t="n"/>
      <c r="Q13" s="17" t="inlineStr">
        <is>
          <t>Tomada su versión, más cercana. Se mantiene pedir permiso antes de las preguntas (decisión del 26 oct) y "asistente virtual" (AC 09).</t>
        </is>
      </c>
    </row>
    <row r="14" ht="96" customHeight="1" s="11">
      <c r="A14" s="17" t="n">
        <v>10</v>
      </c>
      <c r="B14" s="18" t="inlineStr">
        <is>
          <t>jndelt_bienvenida_formulario_comprador</t>
        </is>
      </c>
      <c r="C14" s="17" t="inlineStr">
        <is>
          <t>UTILITY</t>
        </is>
      </c>
      <c r="D14" s="17" t="inlineStr">
        <is>
          <t>Futuro (formularios o voz)</t>
        </is>
      </c>
      <c r="E14" s="17" t="inlineStr">
        <is>
          <t>Lead que llenó un formulario de Meta para comprar o arrendar.</t>
        </is>
      </c>
      <c r="F14" s="17" t="inlineStr">
        <is>
          <t>Sonia</t>
        </is>
      </c>
      <c r="G14" s="17" t="n"/>
      <c r="H14" s="17" t="inlineStr">
        <is>
          <t>Hola {{1}}, soy Sonia, la asistente virtual de JNdelT Real Estate. Recibimos tu solicitud sobre las propiedades que buscas. ¿Tienes un minuto para unas preguntas breves?</t>
        </is>
      </c>
      <c r="I14" s="17" t="inlineStr">
        <is>
          <t>{{1}} = Andrea</t>
        </is>
      </c>
      <c r="J14" s="17" t="n"/>
      <c r="K14" s="17" t="inlineStr">
        <is>
          <t>Respuesta rápida: "Sí, continuemos" · "Más tarde"</t>
        </is>
      </c>
      <c r="L14" s="17" t="inlineStr">
        <is>
          <t>No aplica todavía.</t>
        </is>
      </c>
      <c r="M14" s="17" t="n"/>
      <c r="N14" s="19" t="inlineStr">
        <is>
          <t>Borrador</t>
        </is>
      </c>
      <c r="O14" s="19" t="n"/>
      <c r="P14" s="19" t="n"/>
      <c r="Q14" s="17" t="inlineStr">
        <is>
          <t>Su versión ("¿para vivir o como inversión?", con el inmueble de interés) queda en espera: Sonia está inactiva y necesita la variable del anuncio y un campo nuevo.</t>
        </is>
      </c>
    </row>
    <row r="15" ht="96" customHeight="1" s="11">
      <c r="A15" s="17" t="n">
        <v>11</v>
      </c>
      <c r="B15" s="18" t="inlineStr">
        <is>
          <t>jndelt_video_proceso</t>
        </is>
      </c>
      <c r="C15" s="17" t="inlineStr">
        <is>
          <t>MARKETING</t>
        </is>
      </c>
      <c r="D15" s="17" t="inlineStr">
        <is>
          <t>Fase 1 (guion 26 oct)</t>
        </is>
      </c>
      <c r="E15" s="17" t="inlineStr">
        <is>
          <t>Después de presentar la propuesta, cuando pasaron más de 24 h (dentro de las 24 h se envía sin plantilla con propuesta_video).</t>
        </is>
      </c>
      <c r="F15" s="17" t="inlineStr">
        <is>
          <t>Lucía</t>
        </is>
      </c>
      <c r="G15" s="17" t="inlineStr">
        <is>
          <t>Video (proceso de venta)</t>
        </is>
      </c>
      <c r="H15" s="17" t="inlineStr">
        <is>
          <t>Hola {{1}}, para que tengas claro cómo trabajamos y qué puedes esperar al vender tu {{2}} con JNdelT Real Estate, te compartimos un video con nuestro proceso paso a paso. Cuando lo veas, cuéntanos qué te pareció.</t>
        </is>
      </c>
      <c r="I15" s="17" t="inlineStr">
        <is>
          <t>{{1}} = Andrea · {{2}} = apartamento · Encabezado: video del proceso</t>
        </is>
      </c>
      <c r="J15" s="17" t="inlineStr">
        <is>
          <t>Responde SALIR para no recibir más mensajes</t>
        </is>
      </c>
      <c r="K15" s="17" t="inlineStr">
        <is>
          <t>Respuesta rápida: "Agendar llamada" · "Tengo dudas"</t>
        </is>
      </c>
      <c r="L15" s="17" t="inlineStr">
        <is>
          <t>Por construir (seguimiento programado). Falta el video (parametros.comercial.propuesta.video_url).</t>
        </is>
      </c>
      <c r="M15" s="17" t="inlineStr">
        <is>
          <t>Propuesta de Javier (VSL). Sin minutos en el texto hasta tener el video.</t>
        </is>
      </c>
      <c r="N15" s="19" t="inlineStr">
        <is>
          <t>Borrador</t>
        </is>
      </c>
      <c r="O15" s="19" t="n"/>
      <c r="P15" s="19" t="n"/>
      <c r="Q15" s="17" t="inlineStr">
        <is>
          <t>Nueva: propuesta "Mi opción" de Javier en la fila del dossier.</t>
        </is>
      </c>
    </row>
    <row r="16" ht="96" customHeight="1" s="11">
      <c r="A16" s="17" t="n">
        <v>12</v>
      </c>
      <c r="B16" s="18" t="inlineStr">
        <is>
          <t>jndelt_llamada_no_atendida</t>
        </is>
      </c>
      <c r="C16" s="17" t="inlineStr">
        <is>
          <t>UTILITY</t>
        </is>
      </c>
      <c r="D16" s="17" t="inlineStr">
        <is>
          <t>Fase 1 (guion 26 oct)</t>
        </is>
      </c>
      <c r="E16" s="17" t="inlineStr">
        <is>
          <t>La persona no contestó la llamada agendada.</t>
        </is>
      </c>
      <c r="F16" s="17" t="inlineStr">
        <is>
          <t>Lucía y Sonia</t>
        </is>
      </c>
      <c r="G16" s="17" t="inlineStr"/>
      <c r="H16" s="17" t="inlineStr">
        <is>
          <t>Hola {{1}}, hoy no pudimos coincidir en la llamada con JNdelT Real Estate. ¿Quieres que la reprogramemos para otro día?</t>
        </is>
      </c>
      <c r="I16" s="17" t="inlineStr">
        <is>
          <t>{{1}} = Andrea</t>
        </is>
      </c>
      <c r="J16" s="17" t="inlineStr"/>
      <c r="K16" s="17" t="inlineStr">
        <is>
          <t>Respuesta rápida: "Sí, reprogramar" · "Ahora no"</t>
        </is>
      </c>
      <c r="L16" s="17" t="inlineStr">
        <is>
          <t>Por construir (webhook de citas de GoHighLevel).</t>
        </is>
      </c>
      <c r="M16" s="17" t="inlineStr">
        <is>
          <t>El guion habla de visita; el encuentro es una llamada (decisión D1).</t>
        </is>
      </c>
      <c r="N16" s="19" t="inlineStr">
        <is>
          <t>Borrador</t>
        </is>
      </c>
      <c r="O16" s="19" t="n"/>
      <c r="P16" s="19" t="n"/>
      <c r="Q16" s="17" t="inlineStr">
        <is>
          <t>Nueva: "Si no llega a la visita" del guion de Javier.</t>
        </is>
      </c>
    </row>
    <row r="17" ht="96" customHeight="1" s="11">
      <c r="A17" s="17" t="n">
        <v>13</v>
      </c>
      <c r="B17" s="18" t="inlineStr">
        <is>
          <t>jndelt_referencia_sin_aliado</t>
        </is>
      </c>
      <c r="C17" s="17" t="inlineStr">
        <is>
          <t>UTILITY</t>
        </is>
      </c>
      <c r="D17" s="17" t="inlineStr">
        <is>
          <t>Fase 1 (guion 26 oct)</t>
        </is>
      </c>
      <c r="E17" s="17" t="inlineStr">
        <is>
          <t>Pasó el plazo para conseguir un colega aliado (parametros.seguimiento.horas_para_aliado) sin encontrarlo.</t>
        </is>
      </c>
      <c r="F17" s="17" t="inlineStr">
        <is>
          <t>Lucía</t>
        </is>
      </c>
      <c r="G17" s="17" t="inlineStr"/>
      <c r="H17" s="17" t="inlineStr">
        <is>
          <t>Hola {{1}}, te escribimos de JNdelT Real Estate: por ahora no logramos conectarte con un colega aliado para tu zona. Preferimos decírtelo con claridad para que puedas buscar otras opciones; gracias por tu confianza.</t>
        </is>
      </c>
      <c r="I17" s="17" t="inlineStr">
        <is>
          <t>{{1}} = Andrea</t>
        </is>
      </c>
      <c r="J17" s="17" t="inlineStr"/>
      <c r="K17" s="17" t="inlineStr">
        <is>
          <t>—</t>
        </is>
      </c>
      <c r="L17" s="17" t="inlineStr">
        <is>
          <t>Por construir (seguimiento programado). Falta definir el plazo: 48 o 72 h.</t>
        </is>
      </c>
      <c r="M17" s="17" t="inlineStr">
        <is>
          <t>Texto del guion de Javier.</t>
        </is>
      </c>
      <c r="N17" s="19" t="inlineStr">
        <is>
          <t>Borrador</t>
        </is>
      </c>
      <c r="O17" s="19" t="n"/>
      <c r="P17" s="19" t="n"/>
      <c r="Q17" s="17" t="inlineStr">
        <is>
          <t>Nueva: nota sobre el plazo para el contacto referido.</t>
        </is>
      </c>
    </row>
    <row r="18" ht="96" customHeight="1" s="11">
      <c r="A18" s="17" t="n">
        <v>14</v>
      </c>
      <c r="B18" s="18" t="inlineStr">
        <is>
          <t>jndelt_retomar_vencimiento_arriendo</t>
        </is>
      </c>
      <c r="C18" s="17" t="inlineStr">
        <is>
          <t>MARKETING</t>
        </is>
      </c>
      <c r="D18" s="17" t="inlineStr">
        <is>
          <t>Fase 1 (guion 26 oct)</t>
        </is>
      </c>
      <c r="E18" s="17" t="inlineStr">
        <is>
          <t>30 días antes de que venza el contrato del inquilino (campo fin_contrato_arriendo).</t>
        </is>
      </c>
      <c r="F18" s="17" t="inlineStr">
        <is>
          <t>Lucía</t>
        </is>
      </c>
      <c r="G18" s="17" t="inlineStr"/>
      <c r="H18" s="17" t="inlineStr">
        <is>
          <t>Hola {{1}}, te escribimos de JNdelT Real Estate. Nos contaste que el contrato de arriendo de tu {{2}} vence pronto; ¿quieres que retomemos el proceso de venta?</t>
        </is>
      </c>
      <c r="I18" s="17" t="inlineStr">
        <is>
          <t>{{1}} = Andrea · {{2}} = apartamento</t>
        </is>
      </c>
      <c r="J18" s="17" t="inlineStr">
        <is>
          <t>Responde SALIR para no recibir más mensajes</t>
        </is>
      </c>
      <c r="K18" s="17" t="inlineStr">
        <is>
          <t>Respuesta rápida: "Sí, retomemos" · "Ahora no"</t>
        </is>
      </c>
      <c r="L18" s="17" t="inlineStr">
        <is>
          <t>Por construir (seguimiento programado).</t>
        </is>
      </c>
      <c r="M18" s="17" t="inlineStr">
        <is>
          <t>Pedida en la nota del guion ("retomar contacto antes del vencimiento").</t>
        </is>
      </c>
      <c r="N18" s="19" t="inlineStr">
        <is>
          <t>Borrador</t>
        </is>
      </c>
      <c r="O18" s="19" t="n"/>
      <c r="P18" s="19" t="n"/>
      <c r="Q18" s="17" t="inlineStr">
        <is>
          <t>Nueva: inmueble arrendado del guion de Javier.</t>
        </is>
      </c>
    </row>
  </sheetData>
  <dataValidations count="1">
    <dataValidation sqref="N5:N14" showDropDown="0" showInputMessage="0" showErrorMessage="0" allowBlank="1" type="list" errorStyle="stop" operator="between">
      <formula1>"Borrador,Enviada,Aprobada,Rechazada,En pausa"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4" customWidth="1" style="10" min="2" max="2"/>
    <col width="12" customWidth="1" style="10" min="3" max="3"/>
    <col width="14" customWidth="1" style="10" min="4" max="7"/>
    <col width="16" customWidth="1" style="10" min="8" max="9"/>
    <col width="14" customWidth="1" style="10" min="10" max="12"/>
  </cols>
  <sheetData>
    <row r="1" ht="17.35" customHeight="1" s="11">
      <c r="A1" s="12" t="inlineStr">
        <is>
          <t>Verificación contra las sugerencias de Javier, el prompt de Dapta y las reglas de Meta</t>
        </is>
      </c>
    </row>
    <row r="2" ht="15" customHeight="1" s="11">
      <c r="A2" s="15" t="inlineStr">
        <is>
          <t>Las columnas con fórmula se recalculan si editas el cuerpo en "Plantillas Meta". Frases y emojis se calcularon al generar el archivo.</t>
        </is>
      </c>
    </row>
    <row r="4" ht="31.5" customHeight="1" s="11">
      <c r="A4" s="16" t="inlineStr">
        <is>
          <t>Plantilla</t>
        </is>
      </c>
      <c r="B4" s="16" t="inlineStr">
        <is>
          <t>Caracteres (máx. 1024)</t>
        </is>
      </c>
      <c r="C4" s="16" t="inlineStr">
        <is>
          <t>Marca JNdelT</t>
        </is>
      </c>
      <c r="D4" s="16" t="inlineStr">
        <is>
          <t>Preguntas (máx. 1, Dapta)</t>
        </is>
      </c>
      <c r="E4" s="16" t="inlineStr">
        <is>
          <t>Frases (máx. 2-3, Dapta)</t>
        </is>
      </c>
      <c r="F4" s="16" t="inlineStr">
        <is>
          <t>Tuteo (sin "usted")</t>
        </is>
      </c>
      <c r="G4" s="16" t="inlineStr">
        <is>
          <t>Sin emojis (Javier/Dapta)</t>
        </is>
      </c>
      <c r="H4" s="16" t="inlineStr">
        <is>
          <t>No empieza con variable (Meta)</t>
        </is>
      </c>
      <c r="I4" s="16" t="inlineStr">
        <is>
          <t>No termina en variable (Meta)</t>
        </is>
      </c>
      <c r="J4" s="16" t="inlineStr">
        <is>
          <t>Usa primer nombre {{1}}</t>
        </is>
      </c>
      <c r="K4" s="16" t="inlineStr">
        <is>
          <t>No pide correo (Dapta)</t>
        </is>
      </c>
      <c r="L4" s="16" t="inlineStr">
        <is>
          <t>Resultado</t>
        </is>
      </c>
    </row>
    <row r="5" ht="15" customHeight="1" s="11">
      <c r="A5" s="17">
        <f>'Plantillas Meta'!B5</f>
        <v/>
      </c>
      <c r="B5" s="20">
        <f>LEN('Plantillas Meta'!H5)</f>
        <v/>
      </c>
      <c r="C5" s="20">
        <f>IF(ISNUMBER(SEARCH("JNdelT",'Plantillas Meta'!H5)),"Sí","No")</f>
        <v/>
      </c>
      <c r="D5" s="20">
        <f>LEN('Plantillas Meta'!H5)-LEN(SUBSTITUTE('Plantillas Meta'!H5,"?",""))</f>
        <v/>
      </c>
      <c r="E5" s="20" t="n">
        <v>2</v>
      </c>
      <c r="F5" s="20">
        <f>IF(ISNUMBER(SEARCH("usted",'Plantillas Meta'!H5)),"Revisar","Sí")</f>
        <v/>
      </c>
      <c r="G5" s="20" t="inlineStr">
        <is>
          <t>Sí</t>
        </is>
      </c>
      <c r="H5" s="20">
        <f>IF(LEFT(TRIM('Plantillas Meta'!H5),2)="{{","No","Sí")</f>
        <v/>
      </c>
      <c r="I5" s="20">
        <f>IF(RIGHT(TRIM('Plantillas Meta'!H5),2)="}}","No","Sí")</f>
        <v/>
      </c>
      <c r="J5" s="20">
        <f>IF(ISNUMBER(SEARCH("{{1}}",'Plantillas Meta'!H5)),"Sí","No")</f>
        <v/>
      </c>
      <c r="K5" s="20">
        <f>IF(ISNUMBER(SEARCH("correo",'Plantillas Meta'!H5)),"Revisar","Sí")</f>
        <v/>
      </c>
      <c r="L5" s="20">
        <f>IF(AND(B5&lt;=1024,C5="Sí",D5&lt;=1,E5&lt;=3,F5="Sí",G5="Sí",H5="Sí",I5="Sí",K5="Sí"),"Cumple","Revisar")</f>
        <v/>
      </c>
    </row>
    <row r="6" ht="15" customHeight="1" s="11">
      <c r="A6" s="17">
        <f>'Plantillas Meta'!B6</f>
        <v/>
      </c>
      <c r="B6" s="20">
        <f>LEN('Plantillas Meta'!H6)</f>
        <v/>
      </c>
      <c r="C6" s="20">
        <f>IF(ISNUMBER(SEARCH("JNdelT",'Plantillas Meta'!H6)),"Sí","No")</f>
        <v/>
      </c>
      <c r="D6" s="20">
        <f>LEN('Plantillas Meta'!H6)-LEN(SUBSTITUTE('Plantillas Meta'!H6,"?",""))</f>
        <v/>
      </c>
      <c r="E6" s="20" t="n">
        <v>3</v>
      </c>
      <c r="F6" s="20">
        <f>IF(ISNUMBER(SEARCH("usted",'Plantillas Meta'!H6)),"Revisar","Sí")</f>
        <v/>
      </c>
      <c r="G6" s="20" t="inlineStr">
        <is>
          <t>Sí</t>
        </is>
      </c>
      <c r="H6" s="20">
        <f>IF(LEFT(TRIM('Plantillas Meta'!H6),2)="{{","No","Sí")</f>
        <v/>
      </c>
      <c r="I6" s="20">
        <f>IF(RIGHT(TRIM('Plantillas Meta'!H6),2)="}}","No","Sí")</f>
        <v/>
      </c>
      <c r="J6" s="20">
        <f>IF(ISNUMBER(SEARCH("{{1}}",'Plantillas Meta'!H6)),"Sí","No")</f>
        <v/>
      </c>
      <c r="K6" s="20">
        <f>IF(ISNUMBER(SEARCH("correo",'Plantillas Meta'!H6)),"Revisar","Sí")</f>
        <v/>
      </c>
      <c r="L6" s="20">
        <f>IF(AND(B6&lt;=1024,C6="Sí",D6&lt;=1,E6&lt;=3,F6="Sí",G6="Sí",H6="Sí",I6="Sí",K6="Sí"),"Cumple","Revisar")</f>
        <v/>
      </c>
    </row>
    <row r="7" ht="15" customHeight="1" s="11">
      <c r="A7" s="17">
        <f>'Plantillas Meta'!B7</f>
        <v/>
      </c>
      <c r="B7" s="20">
        <f>LEN('Plantillas Meta'!H7)</f>
        <v/>
      </c>
      <c r="C7" s="20">
        <f>IF(ISNUMBER(SEARCH("JNdelT",'Plantillas Meta'!H7)),"Sí","No")</f>
        <v/>
      </c>
      <c r="D7" s="20">
        <f>LEN('Plantillas Meta'!H7)-LEN(SUBSTITUTE('Plantillas Meta'!H7,"?",""))</f>
        <v/>
      </c>
      <c r="E7" s="20" t="n">
        <v>2</v>
      </c>
      <c r="F7" s="20">
        <f>IF(ISNUMBER(SEARCH("usted",'Plantillas Meta'!H7)),"Revisar","Sí")</f>
        <v/>
      </c>
      <c r="G7" s="20" t="inlineStr">
        <is>
          <t>Sí</t>
        </is>
      </c>
      <c r="H7" s="20">
        <f>IF(LEFT(TRIM('Plantillas Meta'!H7),2)="{{","No","Sí")</f>
        <v/>
      </c>
      <c r="I7" s="20">
        <f>IF(RIGHT(TRIM('Plantillas Meta'!H7),2)="}}","No","Sí")</f>
        <v/>
      </c>
      <c r="J7" s="20">
        <f>IF(ISNUMBER(SEARCH("{{1}}",'Plantillas Meta'!H7)),"Sí","No")</f>
        <v/>
      </c>
      <c r="K7" s="20">
        <f>IF(ISNUMBER(SEARCH("correo",'Plantillas Meta'!H7)),"Revisar","Sí")</f>
        <v/>
      </c>
      <c r="L7" s="20">
        <f>IF(AND(B7&lt;=1024,C7="Sí",D7&lt;=1,E7&lt;=3,F7="Sí",G7="Sí",H7="Sí",I7="Sí",K7="Sí"),"Cumple","Revisar")</f>
        <v/>
      </c>
    </row>
    <row r="8" ht="15" customHeight="1" s="11">
      <c r="A8" s="17">
        <f>'Plantillas Meta'!B8</f>
        <v/>
      </c>
      <c r="B8" s="20">
        <f>LEN('Plantillas Meta'!H8)</f>
        <v/>
      </c>
      <c r="C8" s="20">
        <f>IF(ISNUMBER(SEARCH("JNdelT",'Plantillas Meta'!H8)),"Sí","No")</f>
        <v/>
      </c>
      <c r="D8" s="20">
        <f>LEN('Plantillas Meta'!H8)-LEN(SUBSTITUTE('Plantillas Meta'!H8,"?",""))</f>
        <v/>
      </c>
      <c r="E8" s="20" t="n">
        <v>2</v>
      </c>
      <c r="F8" s="20">
        <f>IF(ISNUMBER(SEARCH("usted",'Plantillas Meta'!H8)),"Revisar","Sí")</f>
        <v/>
      </c>
      <c r="G8" s="20" t="inlineStr">
        <is>
          <t>Sí</t>
        </is>
      </c>
      <c r="H8" s="20">
        <f>IF(LEFT(TRIM('Plantillas Meta'!H8),2)="{{","No","Sí")</f>
        <v/>
      </c>
      <c r="I8" s="20">
        <f>IF(RIGHT(TRIM('Plantillas Meta'!H8),2)="}}","No","Sí")</f>
        <v/>
      </c>
      <c r="J8" s="20">
        <f>IF(ISNUMBER(SEARCH("{{1}}",'Plantillas Meta'!H8)),"Sí","No")</f>
        <v/>
      </c>
      <c r="K8" s="20">
        <f>IF(ISNUMBER(SEARCH("correo",'Plantillas Meta'!H8)),"Revisar","Sí")</f>
        <v/>
      </c>
      <c r="L8" s="20">
        <f>IF(AND(B8&lt;=1024,C8="Sí",D8&lt;=1,E8&lt;=3,F8="Sí",G8="Sí",H8="Sí",I8="Sí",K8="Sí"),"Cumple","Revisar")</f>
        <v/>
      </c>
    </row>
    <row r="9" ht="15" customHeight="1" s="11">
      <c r="A9" s="17">
        <f>'Plantillas Meta'!B9</f>
        <v/>
      </c>
      <c r="B9" s="20">
        <f>LEN('Plantillas Meta'!H9)</f>
        <v/>
      </c>
      <c r="C9" s="20">
        <f>IF(ISNUMBER(SEARCH("JNdelT",'Plantillas Meta'!H9)),"Sí","No")</f>
        <v/>
      </c>
      <c r="D9" s="20">
        <f>LEN('Plantillas Meta'!H9)-LEN(SUBSTITUTE('Plantillas Meta'!H9,"?",""))</f>
        <v/>
      </c>
      <c r="E9" s="20" t="n">
        <v>2</v>
      </c>
      <c r="F9" s="20">
        <f>IF(ISNUMBER(SEARCH("usted",'Plantillas Meta'!H9)),"Revisar","Sí")</f>
        <v/>
      </c>
      <c r="G9" s="20" t="inlineStr">
        <is>
          <t>Sí</t>
        </is>
      </c>
      <c r="H9" s="20">
        <f>IF(LEFT(TRIM('Plantillas Meta'!H9),2)="{{","No","Sí")</f>
        <v/>
      </c>
      <c r="I9" s="20">
        <f>IF(RIGHT(TRIM('Plantillas Meta'!H9),2)="}}","No","Sí")</f>
        <v/>
      </c>
      <c r="J9" s="20">
        <f>IF(ISNUMBER(SEARCH("{{1}}",'Plantillas Meta'!H9)),"Sí","No")</f>
        <v/>
      </c>
      <c r="K9" s="20">
        <f>IF(ISNUMBER(SEARCH("correo",'Plantillas Meta'!H9)),"Revisar","Sí")</f>
        <v/>
      </c>
      <c r="L9" s="20">
        <f>IF(AND(B9&lt;=1024,C9="Sí",D9&lt;=1,E9&lt;=3,F9="Sí",G9="Sí",H9="Sí",I9="Sí",K9="Sí"),"Cumple","Revisar")</f>
        <v/>
      </c>
    </row>
    <row r="10" ht="15" customHeight="1" s="11">
      <c r="A10" s="17">
        <f>'Plantillas Meta'!B10</f>
        <v/>
      </c>
      <c r="B10" s="20">
        <f>LEN('Plantillas Meta'!H10)</f>
        <v/>
      </c>
      <c r="C10" s="20">
        <f>IF(ISNUMBER(SEARCH("JNdelT",'Plantillas Meta'!H10)),"Sí","No")</f>
        <v/>
      </c>
      <c r="D10" s="20">
        <f>LEN('Plantillas Meta'!H10)-LEN(SUBSTITUTE('Plantillas Meta'!H10,"?",""))</f>
        <v/>
      </c>
      <c r="E10" s="20" t="n">
        <v>2</v>
      </c>
      <c r="F10" s="20">
        <f>IF(ISNUMBER(SEARCH("usted",'Plantillas Meta'!H10)),"Revisar","Sí")</f>
        <v/>
      </c>
      <c r="G10" s="20" t="inlineStr">
        <is>
          <t>Sí</t>
        </is>
      </c>
      <c r="H10" s="20">
        <f>IF(LEFT(TRIM('Plantillas Meta'!H10),2)="{{","No","Sí")</f>
        <v/>
      </c>
      <c r="I10" s="20">
        <f>IF(RIGHT(TRIM('Plantillas Meta'!H10),2)="}}","No","Sí")</f>
        <v/>
      </c>
      <c r="J10" s="20">
        <f>IF(ISNUMBER(SEARCH("{{1}}",'Plantillas Meta'!H10)),"Sí","No")</f>
        <v/>
      </c>
      <c r="K10" s="20">
        <f>IF(ISNUMBER(SEARCH("correo",'Plantillas Meta'!H10)),"Revisar","Sí")</f>
        <v/>
      </c>
      <c r="L10" s="20">
        <f>IF(AND(B10&lt;=1024,C10="Sí",D10&lt;=1,E10&lt;=3,F10="Sí",G10="Sí",H10="Sí",I10="Sí",K10="Sí"),"Cumple","Revisar")</f>
        <v/>
      </c>
    </row>
    <row r="11" ht="15" customHeight="1" s="11">
      <c r="A11" s="17">
        <f>'Plantillas Meta'!B11</f>
        <v/>
      </c>
      <c r="B11" s="20">
        <f>LEN('Plantillas Meta'!H11)</f>
        <v/>
      </c>
      <c r="C11" s="20">
        <f>IF(ISNUMBER(SEARCH("JNdelT",'Plantillas Meta'!H11)),"Sí","No")</f>
        <v/>
      </c>
      <c r="D11" s="20">
        <f>LEN('Plantillas Meta'!H11)-LEN(SUBSTITUTE('Plantillas Meta'!H11,"?",""))</f>
        <v/>
      </c>
      <c r="E11" s="20" t="n">
        <v>2</v>
      </c>
      <c r="F11" s="20">
        <f>IF(ISNUMBER(SEARCH("usted",'Plantillas Meta'!H11)),"Revisar","Sí")</f>
        <v/>
      </c>
      <c r="G11" s="20" t="inlineStr">
        <is>
          <t>Sí</t>
        </is>
      </c>
      <c r="H11" s="20">
        <f>IF(LEFT(TRIM('Plantillas Meta'!H11),2)="{{","No","Sí")</f>
        <v/>
      </c>
      <c r="I11" s="20">
        <f>IF(RIGHT(TRIM('Plantillas Meta'!H11),2)="}}","No","Sí")</f>
        <v/>
      </c>
      <c r="J11" s="20">
        <f>IF(ISNUMBER(SEARCH("{{1}}",'Plantillas Meta'!H11)),"Sí","No")</f>
        <v/>
      </c>
      <c r="K11" s="20">
        <f>IF(ISNUMBER(SEARCH("correo",'Plantillas Meta'!H11)),"Revisar","Sí")</f>
        <v/>
      </c>
      <c r="L11" s="20">
        <f>IF(AND(B11&lt;=1024,C11="Sí",D11&lt;=1,E11&lt;=3,F11="Sí",G11="Sí",H11="Sí",I11="Sí",K11="Sí"),"Cumple","Revisar")</f>
        <v/>
      </c>
    </row>
    <row r="12" ht="15" customHeight="1" s="11">
      <c r="A12" s="17">
        <f>'Plantillas Meta'!B12</f>
        <v/>
      </c>
      <c r="B12" s="20">
        <f>LEN('Plantillas Meta'!H12)</f>
        <v/>
      </c>
      <c r="C12" s="20">
        <f>IF(ISNUMBER(SEARCH("JNdelT",'Plantillas Meta'!H12)),"Sí","No")</f>
        <v/>
      </c>
      <c r="D12" s="20">
        <f>LEN('Plantillas Meta'!H12)-LEN(SUBSTITUTE('Plantillas Meta'!H12,"?",""))</f>
        <v/>
      </c>
      <c r="E12" s="20" t="n">
        <v>2</v>
      </c>
      <c r="F12" s="20">
        <f>IF(ISNUMBER(SEARCH("usted",'Plantillas Meta'!H12)),"Revisar","Sí")</f>
        <v/>
      </c>
      <c r="G12" s="20" t="inlineStr">
        <is>
          <t>Sí</t>
        </is>
      </c>
      <c r="H12" s="20">
        <f>IF(LEFT(TRIM('Plantillas Meta'!H12),2)="{{","No","Sí")</f>
        <v/>
      </c>
      <c r="I12" s="20">
        <f>IF(RIGHT(TRIM('Plantillas Meta'!H12),2)="}}","No","Sí")</f>
        <v/>
      </c>
      <c r="J12" s="20">
        <f>IF(ISNUMBER(SEARCH("{{1}}",'Plantillas Meta'!H12)),"Sí","No")</f>
        <v/>
      </c>
      <c r="K12" s="20">
        <f>IF(ISNUMBER(SEARCH("correo",'Plantillas Meta'!H12)),"Revisar","Sí")</f>
        <v/>
      </c>
      <c r="L12" s="20">
        <f>IF(AND(B12&lt;=1024,C12="Sí",D12&lt;=1,E12&lt;=3,F12="Sí",G12="Sí",H12="Sí",I12="Sí",K12="Sí"),"Cumple","Revisar")</f>
        <v/>
      </c>
    </row>
    <row r="13" ht="15" customHeight="1" s="11">
      <c r="A13" s="17">
        <f>'Plantillas Meta'!B13</f>
        <v/>
      </c>
      <c r="B13" s="20">
        <f>LEN('Plantillas Meta'!H13)</f>
        <v/>
      </c>
      <c r="C13" s="20">
        <f>IF(ISNUMBER(SEARCH("JNdelT",'Plantillas Meta'!H13)),"Sí","No")</f>
        <v/>
      </c>
      <c r="D13" s="20">
        <f>LEN('Plantillas Meta'!H13)-LEN(SUBSTITUTE('Plantillas Meta'!H13,"?",""))</f>
        <v/>
      </c>
      <c r="E13" s="20" t="n">
        <v>3</v>
      </c>
      <c r="F13" s="20">
        <f>IF(ISNUMBER(SEARCH("usted",'Plantillas Meta'!H13)),"Revisar","Sí")</f>
        <v/>
      </c>
      <c r="G13" s="20" t="inlineStr">
        <is>
          <t>Sí</t>
        </is>
      </c>
      <c r="H13" s="20">
        <f>IF(LEFT(TRIM('Plantillas Meta'!H13),2)="{{","No","Sí")</f>
        <v/>
      </c>
      <c r="I13" s="20">
        <f>IF(RIGHT(TRIM('Plantillas Meta'!H13),2)="}}","No","Sí")</f>
        <v/>
      </c>
      <c r="J13" s="20">
        <f>IF(ISNUMBER(SEARCH("{{1}}",'Plantillas Meta'!H13)),"Sí","No")</f>
        <v/>
      </c>
      <c r="K13" s="20">
        <f>IF(ISNUMBER(SEARCH("correo",'Plantillas Meta'!H13)),"Revisar","Sí")</f>
        <v/>
      </c>
      <c r="L13" s="20">
        <f>IF(AND(B13&lt;=1024,C13="Sí",D13&lt;=1,E13&lt;=3,F13="Sí",G13="Sí",H13="Sí",I13="Sí",K13="Sí"),"Cumple","Revisar")</f>
        <v/>
      </c>
    </row>
    <row r="14" ht="15" customHeight="1" s="11">
      <c r="A14" s="17">
        <f>'Plantillas Meta'!B14</f>
        <v/>
      </c>
      <c r="B14" s="20">
        <f>LEN('Plantillas Meta'!H14)</f>
        <v/>
      </c>
      <c r="C14" s="20">
        <f>IF(ISNUMBER(SEARCH("JNdelT",'Plantillas Meta'!H14)),"Sí","No")</f>
        <v/>
      </c>
      <c r="D14" s="20">
        <f>LEN('Plantillas Meta'!H14)-LEN(SUBSTITUTE('Plantillas Meta'!H14,"?",""))</f>
        <v/>
      </c>
      <c r="E14" s="20" t="n">
        <v>3</v>
      </c>
      <c r="F14" s="20">
        <f>IF(ISNUMBER(SEARCH("usted",'Plantillas Meta'!H14)),"Revisar","Sí")</f>
        <v/>
      </c>
      <c r="G14" s="20" t="inlineStr">
        <is>
          <t>Sí</t>
        </is>
      </c>
      <c r="H14" s="20">
        <f>IF(LEFT(TRIM('Plantillas Meta'!H14),2)="{{","No","Sí")</f>
        <v/>
      </c>
      <c r="I14" s="20">
        <f>IF(RIGHT(TRIM('Plantillas Meta'!H14),2)="}}","No","Sí")</f>
        <v/>
      </c>
      <c r="J14" s="20">
        <f>IF(ISNUMBER(SEARCH("{{1}}",'Plantillas Meta'!H14)),"Sí","No")</f>
        <v/>
      </c>
      <c r="K14" s="20">
        <f>IF(ISNUMBER(SEARCH("correo",'Plantillas Meta'!H14)),"Revisar","Sí")</f>
        <v/>
      </c>
      <c r="L14" s="20">
        <f>IF(AND(B14&lt;=1024,C14="Sí",D14&lt;=1,E14&lt;=3,F14="Sí",G14="Sí",H14="Sí",I14="Sí",K14="Sí"),"Cumple","Revisar")</f>
        <v/>
      </c>
    </row>
    <row r="15">
      <c r="A15" s="17">
        <f>'Plantillas Meta'!B15</f>
        <v/>
      </c>
      <c r="B15" s="20">
        <f>LEN('Plantillas Meta'!H15)</f>
        <v/>
      </c>
      <c r="C15" s="20">
        <f>IF(ISNUMBER(SEARCH("JNdelT",'Plantillas Meta'!H15)),"Sí","No")</f>
        <v/>
      </c>
      <c r="D15" s="20">
        <f>LEN('Plantillas Meta'!H15)-LEN(SUBSTITUTE('Plantillas Meta'!H15,"?",""))</f>
        <v/>
      </c>
      <c r="E15" s="20" t="n">
        <v>2</v>
      </c>
      <c r="F15" s="20">
        <f>IF(ISNUMBER(SEARCH("usted",'Plantillas Meta'!H15)),"Revisar","Sí")</f>
        <v/>
      </c>
      <c r="G15" s="20" t="inlineStr">
        <is>
          <t>Sí</t>
        </is>
      </c>
      <c r="H15" s="20">
        <f>IF(LEFT(TRIM('Plantillas Meta'!H15),2)="{{","No","Sí")</f>
        <v/>
      </c>
      <c r="I15" s="20">
        <f>IF(RIGHT(TRIM('Plantillas Meta'!H15),2)="}}","No","Sí")</f>
        <v/>
      </c>
      <c r="J15" s="20">
        <f>IF(ISNUMBER(SEARCH("{{1}}",'Plantillas Meta'!H15)),"Sí","No")</f>
        <v/>
      </c>
      <c r="K15" s="20">
        <f>IF(ISNUMBER(SEARCH("correo",'Plantillas Meta'!H15)),"Revisar","Sí")</f>
        <v/>
      </c>
      <c r="L15" s="20">
        <f>IF(AND(B15&lt;=1024,C15="Sí",D15&lt;=1,E15&lt;=3,F15="Sí",G15="Sí",H15="Sí",I15="Sí",K15="Sí"),"Cumple","Revisar")</f>
        <v/>
      </c>
    </row>
    <row r="16" ht="15" customHeight="1" s="11">
      <c r="A16" s="17">
        <f>'Plantillas Meta'!B16</f>
        <v/>
      </c>
      <c r="B16" s="20">
        <f>LEN('Plantillas Meta'!H16)</f>
        <v/>
      </c>
      <c r="C16" s="20">
        <f>IF(ISNUMBER(SEARCH("JNdelT",'Plantillas Meta'!H16)),"Sí","No")</f>
        <v/>
      </c>
      <c r="D16" s="20">
        <f>LEN('Plantillas Meta'!H16)-LEN(SUBSTITUTE('Plantillas Meta'!H16,"?",""))</f>
        <v/>
      </c>
      <c r="E16" s="20" t="n">
        <v>2</v>
      </c>
      <c r="F16" s="20">
        <f>IF(ISNUMBER(SEARCH("usted",'Plantillas Meta'!H16)),"Revisar","Sí")</f>
        <v/>
      </c>
      <c r="G16" s="20" t="inlineStr">
        <is>
          <t>Sí</t>
        </is>
      </c>
      <c r="H16" s="20">
        <f>IF(LEFT(TRIM('Plantillas Meta'!H16),2)="{{","No","Sí")</f>
        <v/>
      </c>
      <c r="I16" s="20">
        <f>IF(RIGHT(TRIM('Plantillas Meta'!H16),2)="}}","No","Sí")</f>
        <v/>
      </c>
      <c r="J16" s="20">
        <f>IF(ISNUMBER(SEARCH("{{1}}",'Plantillas Meta'!H16)),"Sí","No")</f>
        <v/>
      </c>
      <c r="K16" s="20">
        <f>IF(ISNUMBER(SEARCH("correo",'Plantillas Meta'!H16)),"Revisar","Sí")</f>
        <v/>
      </c>
      <c r="L16" s="20">
        <f>IF(AND(B16&lt;=1024,C16="Sí",D16&lt;=1,E16&lt;=3,F16="Sí",G16="Sí",H16="Sí",I16="Sí",K16="Sí"),"Cumple","Revisar")</f>
        <v/>
      </c>
    </row>
    <row r="17">
      <c r="A17" s="17">
        <f>'Plantillas Meta'!B17</f>
        <v/>
      </c>
      <c r="B17" s="20">
        <f>LEN('Plantillas Meta'!H17)</f>
        <v/>
      </c>
      <c r="C17" s="20">
        <f>IF(ISNUMBER(SEARCH("JNdelT",'Plantillas Meta'!H17)),"Sí","No")</f>
        <v/>
      </c>
      <c r="D17" s="20">
        <f>LEN('Plantillas Meta'!H17)-LEN(SUBSTITUTE('Plantillas Meta'!H17,"?",""))</f>
        <v/>
      </c>
      <c r="E17" s="20" t="n">
        <v>2</v>
      </c>
      <c r="F17" s="20">
        <f>IF(ISNUMBER(SEARCH("usted",'Plantillas Meta'!H17)),"Revisar","Sí")</f>
        <v/>
      </c>
      <c r="G17" s="20" t="inlineStr">
        <is>
          <t>Sí</t>
        </is>
      </c>
      <c r="H17" s="20">
        <f>IF(LEFT(TRIM('Plantillas Meta'!H17),2)="{{","No","Sí")</f>
        <v/>
      </c>
      <c r="I17" s="20">
        <f>IF(RIGHT(TRIM('Plantillas Meta'!H17),2)="}}","No","Sí")</f>
        <v/>
      </c>
      <c r="J17" s="20">
        <f>IF(ISNUMBER(SEARCH("{{1}}",'Plantillas Meta'!H17)),"Sí","No")</f>
        <v/>
      </c>
      <c r="K17" s="20">
        <f>IF(ISNUMBER(SEARCH("correo",'Plantillas Meta'!H17)),"Revisar","Sí")</f>
        <v/>
      </c>
      <c r="L17" s="20">
        <f>IF(AND(B17&lt;=1024,C17="Sí",D17&lt;=1,E17&lt;=3,F17="Sí",G17="Sí",H17="Sí",I17="Sí",K17="Sí"),"Cumple","Revisar")</f>
        <v/>
      </c>
    </row>
    <row r="18">
      <c r="A18" s="17">
        <f>'Plantillas Meta'!B18</f>
        <v/>
      </c>
      <c r="B18" s="20">
        <f>LEN('Plantillas Meta'!H18)</f>
        <v/>
      </c>
      <c r="C18" s="20">
        <f>IF(ISNUMBER(SEARCH("JNdelT",'Plantillas Meta'!H18)),"Sí","No")</f>
        <v/>
      </c>
      <c r="D18" s="20">
        <f>LEN('Plantillas Meta'!H18)-LEN(SUBSTITUTE('Plantillas Meta'!H18,"?",""))</f>
        <v/>
      </c>
      <c r="E18" s="20" t="n">
        <v>2</v>
      </c>
      <c r="F18" s="20">
        <f>IF(ISNUMBER(SEARCH("usted",'Plantillas Meta'!H18)),"Revisar","Sí")</f>
        <v/>
      </c>
      <c r="G18" s="20" t="inlineStr">
        <is>
          <t>Sí</t>
        </is>
      </c>
      <c r="H18" s="20">
        <f>IF(LEFT(TRIM('Plantillas Meta'!H18),2)="{{","No","Sí")</f>
        <v/>
      </c>
      <c r="I18" s="20">
        <f>IF(RIGHT(TRIM('Plantillas Meta'!H18),2)="}}","No","Sí")</f>
        <v/>
      </c>
      <c r="J18" s="20">
        <f>IF(ISNUMBER(SEARCH("{{1}}",'Plantillas Meta'!H18)),"Sí","No")</f>
        <v/>
      </c>
      <c r="K18" s="20">
        <f>IF(ISNUMBER(SEARCH("correo",'Plantillas Meta'!H18)),"Revisar","Sí")</f>
        <v/>
      </c>
      <c r="L18" s="20">
        <f>IF(AND(B18&lt;=1024,C18="Sí",D18&lt;=1,E18&lt;=3,F18="Sí",G18="Sí",H18="Sí",I18="Sí",K18="Sí"),"Cumple","Revisar")</f>
        <v/>
      </c>
    </row>
    <row r="20">
      <c r="A20" s="13" t="inlineStr">
        <is>
          <t>Plantillas que cumplen</t>
        </is>
      </c>
      <c r="B20" s="13">
        <f>COUNTIF(L5:L18,"Cumple")&amp;" de "&amp;COUNTA(A5:A18)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9" customWidth="1" style="10" min="2" max="2"/>
    <col width="60" customWidth="1" style="10" min="3" max="3"/>
    <col width="8" customWidth="1" style="10" min="4" max="4"/>
    <col width="10" customWidth="1" style="10" min="5" max="5"/>
    <col width="40" customWidth="1" style="10" min="6" max="6"/>
    <col width="60" customWidth="1" style="10" min="7" max="7"/>
    <col width="12" customWidth="1" style="10" min="8" max="8"/>
  </cols>
  <sheetData>
    <row r="1" ht="17.35" customHeight="1" s="11">
      <c r="A1" s="12" t="inlineStr">
        <is>
          <t>Mensajes que el agente envía dentro de la conversación (no requieren aprobación de Meta)</t>
        </is>
      </c>
    </row>
    <row r="2" ht="15" customHeight="1" s="11">
      <c r="A2" s="15" t="inlineStr">
        <is>
          <t>Desde el 26 oct estos textos son guías: el agente transmite su sentido con sus propias palabras y conserva exactos los datos (horarios, fechas, comisión, enlaces). Solo las plantillas de Meta se envían literales. El texto vigente de cada mensaje está en config/tenants/javier-nunez/plantillas.json.</t>
        </is>
      </c>
    </row>
    <row r="4" ht="31.5" customHeight="1" s="11">
      <c r="A4" s="16" t="inlineStr">
        <is>
          <t>Clave</t>
        </is>
      </c>
      <c r="B4" s="16" t="inlineStr">
        <is>
          <t>Rol</t>
        </is>
      </c>
      <c r="C4" s="16" t="inlineStr">
        <is>
          <t>Texto actual</t>
        </is>
      </c>
      <c r="D4" s="16" t="inlineStr">
        <is>
          <t>Frases</t>
        </is>
      </c>
      <c r="E4" s="16" t="inlineStr">
        <is>
          <t>Preguntas</t>
        </is>
      </c>
      <c r="F4" s="16" t="inlineStr">
        <is>
          <t>Hallazgo</t>
        </is>
      </c>
      <c r="G4" s="16" t="inlineStr">
        <is>
          <t>Texto propuesto</t>
        </is>
      </c>
      <c r="H4" s="16" t="inlineStr">
        <is>
          <t>Aplicar (Sí/No)</t>
        </is>
      </c>
    </row>
    <row r="5" ht="78" customHeight="1" s="11">
      <c r="A5" s="17" t="inlineStr">
        <is>
          <t>calificado</t>
        </is>
      </c>
      <c r="B5" s="17" t="inlineStr">
        <is>
          <t>lucia</t>
        </is>
      </c>
      <c r="C5" s="17" t="inlineStr">
        <is>
          <t>Gracias, cumples con los criterios para continuar. El siguiente paso es agendar una conversación con uno de nuestros asesores. ¿Cuál de estos horarios prefieres? {{horarios_disponibles}}</t>
        </is>
      </c>
      <c r="D5" s="17" t="n">
        <v>4</v>
      </c>
      <c r="E5" s="17">
        <f>LEN(C5)-LEN(SUBSTITUTE(C5,"?",""))</f>
        <v/>
      </c>
      <c r="F5" s="17" t="inlineStr">
        <is>
          <t>3 frases (Dapta: máximo 2).</t>
        </is>
      </c>
      <c r="G5" s="17" t="inlineStr">
        <is>
          <t>Perfecto, ya tenemos lo necesario para avanzar. ¿Cuál de estos horarios prefieres para hablar con un asesor?
{{horarios_disponibles}}</t>
        </is>
      </c>
      <c r="H5" s="19" t="n"/>
    </row>
    <row r="6" ht="78" customHeight="1" s="11">
      <c r="A6" s="17" t="inlineStr">
        <is>
          <t>calificado</t>
        </is>
      </c>
      <c r="B6" s="17" t="inlineStr">
        <is>
          <t>sonia</t>
        </is>
      </c>
      <c r="C6" s="17" t="inlineStr">
        <is>
          <t>Gracias, ya contamos con la información necesaria y cumples con los criterios para continuar. Ahora puedes agendar una conversación con uno de nuestros asesores. ¿Cuál de estos horarios prefieres? {{horarios_disponibles}}</t>
        </is>
      </c>
      <c r="D6" s="17" t="n">
        <v>4</v>
      </c>
      <c r="E6" s="17">
        <f>LEN(C6)-LEN(SUBSTITUTE(C6,"?",""))</f>
        <v/>
      </c>
      <c r="F6" s="17" t="inlineStr">
        <is>
          <t>3 frases (Dapta: máximo 2).</t>
        </is>
      </c>
      <c r="G6" s="17" t="inlineStr">
        <is>
          <t>Perfecto, ya tenemos lo necesario para avanzar. ¿Cuál de estos horarios prefieres para hablar con un asesor?
{{horarios_disponibles}}</t>
        </is>
      </c>
      <c r="H6" s="19" t="n"/>
    </row>
    <row r="7" ht="78" customHeight="1" s="11">
      <c r="A7" s="17" t="inlineStr">
        <is>
          <t>comentario_instagram</t>
        </is>
      </c>
      <c r="B7" s="17" t="inlineStr">
        <is>
          <t>común</t>
        </is>
      </c>
      <c r="C7" s="17" t="inlineStr">
        <is>
          <t>¡Hola! Gracias por escribirnos. Envíanos un mensaje directo con la palabra INFO para poder ayudarte.</t>
        </is>
      </c>
      <c r="D7" s="17" t="n">
        <v>3</v>
      </c>
      <c r="E7" s="17">
        <f>LEN(C7)-LEN(SUBSTITUTE(C7,"?",""))</f>
        <v/>
      </c>
      <c r="F7" s="17" t="inlineStr">
        <is>
          <t>Cumple.</t>
        </is>
      </c>
      <c r="G7" s="17" t="n"/>
      <c r="H7" s="17" t="inlineStr">
        <is>
          <t>—</t>
        </is>
      </c>
    </row>
    <row r="8" ht="78" customHeight="1" s="11">
      <c r="A8" s="17" t="inlineStr">
        <is>
          <t>confirmacion</t>
        </is>
      </c>
      <c r="B8" s="17" t="inlineStr">
        <is>
          <t>común</t>
        </is>
      </c>
      <c r="C8" s="17" t="inlineStr">
        <is>
          <t>Tu cita quedó confirmada para el {{fecha}} a las {{hora}}, zona horaria {{zona_horaria}}, mediante {{modalidad}}. El asesor asignado continuará contigo en ese momento.</t>
        </is>
      </c>
      <c r="D8" s="17" t="n">
        <v>2</v>
      </c>
      <c r="E8" s="17">
        <f>LEN(C8)-LEN(SUBSTITUTE(C8,"?",""))</f>
        <v/>
      </c>
      <c r="F8" s="17" t="inlineStr">
        <is>
          <t>"zona horaria Colombia" se lee forzado.</t>
        </is>
      </c>
      <c r="G8" s="17" t="inlineStr">
        <is>
          <t>Listo, tu cita quedó confirmada para el {{fecha}} a las {{hora}}, hora de {{zona_horaria}}, por {{modalidad}}. Un asesor de JNdelT Real Estate te atenderá en ese momento.</t>
        </is>
      </c>
      <c r="H8" s="19" t="n"/>
    </row>
    <row r="9" ht="78" customHeight="1" s="11">
      <c r="A9" s="17" t="inlineStr">
        <is>
          <t>direccion_ambigua</t>
        </is>
      </c>
      <c r="B9" s="17" t="inlineStr">
        <is>
          <t>lucia</t>
        </is>
      </c>
      <c r="C9" s="17" t="inlineStr">
        <is>
          <t>No pude identificar la dirección con suficiente precisión. ¿Podrías confirmar la ciudad, el barrio y la dirección completa o compartir un punto de referencia?</t>
        </is>
      </c>
      <c r="D9" s="17" t="n">
        <v>2</v>
      </c>
      <c r="E9" s="17">
        <f>LEN(C9)-LEN(SUBSTITUTE(C9,"?",""))</f>
        <v/>
      </c>
      <c r="F9" s="17" t="inlineStr">
        <is>
          <t>Pide cuatro datos en una sola pregunta (Dapta: una pregunta por turno).</t>
        </is>
      </c>
      <c r="G9" s="17" t="inlineStr">
        <is>
          <t>No logré ubicar la dirección con precisión. ¿Me confirmas la dirección completa con el barrio, o un punto de referencia cercano?</t>
        </is>
      </c>
      <c r="H9" s="19" t="n"/>
    </row>
    <row r="10" ht="78" customHeight="1" s="11">
      <c r="A10" s="17" t="inlineStr">
        <is>
          <t>enlace_agenda</t>
        </is>
      </c>
      <c r="B10" s="17" t="inlineStr">
        <is>
          <t>común</t>
        </is>
      </c>
      <c r="C10" s="17" t="inlineStr">
        <is>
          <t>Puedes escoger el horario que mejor te convenga aquí: {{enlace_agenda}}. La cita quedará confirmada cuando completes la reserva.</t>
        </is>
      </c>
      <c r="D10" s="17" t="n">
        <v>2</v>
      </c>
      <c r="E10" s="17">
        <f>LEN(C10)-LEN(SUBSTITUTE(C10,"?",""))</f>
        <v/>
      </c>
      <c r="F10" s="17" t="inlineStr">
        <is>
          <t>Sin uso: no hay enlace de agenda configurado.</t>
        </is>
      </c>
      <c r="G10" s="17" t="n"/>
      <c r="H10" s="17" t="inlineStr">
        <is>
          <t>—</t>
        </is>
      </c>
    </row>
    <row r="11" ht="78" customHeight="1" s="11">
      <c r="A11" s="17" t="inlineStr">
        <is>
          <t>falla_agenda</t>
        </is>
      </c>
      <c r="B11" s="17" t="inlineStr">
        <is>
          <t>común</t>
        </is>
      </c>
      <c r="C11" s="17" t="inlineStr">
        <is>
          <t>No fue posible confirmar la cita en este momento. Tu información quedó registrada, pero el horario aún no está reservado.</t>
        </is>
      </c>
      <c r="D11" s="17" t="n">
        <v>2</v>
      </c>
      <c r="E11" s="17">
        <f>LEN(C11)-LEN(SUBSTITUTE(C11,"?",""))</f>
        <v/>
      </c>
      <c r="F11" s="17" t="inlineStr">
        <is>
          <t>Cumple.</t>
        </is>
      </c>
      <c r="G11" s="17" t="n"/>
      <c r="H11" s="17" t="inlineStr">
        <is>
          <t>—</t>
        </is>
      </c>
    </row>
    <row r="12" ht="78" customHeight="1" s="11">
      <c r="A12" s="17" t="inlineStr">
        <is>
          <t>horario_agotado</t>
        </is>
      </c>
      <c r="B12" s="17" t="inlineStr">
        <is>
          <t>común</t>
        </is>
      </c>
      <c r="C12" s="17" t="inlineStr">
        <is>
          <t>Ese horario ya no se encuentra disponible. Puedo ofrecerte estas alternativas: {{horarios_alternativos}}.</t>
        </is>
      </c>
      <c r="D12" s="17" t="n">
        <v>2</v>
      </c>
      <c r="E12" s="17">
        <f>LEN(C12)-LEN(SUBSTITUTE(C12,"?",""))</f>
        <v/>
      </c>
      <c r="F12" s="17" t="inlineStr">
        <is>
          <t>Cumple.</t>
        </is>
      </c>
      <c r="G12" s="17" t="n"/>
      <c r="H12" s="17" t="inlineStr">
        <is>
          <t>—</t>
        </is>
      </c>
    </row>
    <row r="13" ht="78" customHeight="1" s="11">
      <c r="A13" s="17" t="inlineStr">
        <is>
          <t>inicio</t>
        </is>
      </c>
      <c r="B13" s="17" t="inlineStr">
        <is>
          <t>lucia</t>
        </is>
      </c>
      <c r="C13" s="17" t="inlineStr">
        <is>
          <t>Hola, soy Lucía, la asistente virtual de JNdelT Real Estate. Te haré unas preguntas breves para conocer la propiedad que deseas vender o arrendar y determinar el siguiente paso. ¿Cuál es tu nombre?</t>
        </is>
      </c>
      <c r="D13" s="17" t="n">
        <v>3</v>
      </c>
      <c r="E13" s="17">
        <f>LEN(C13)-LEN(SUBSTITUTE(C13,"?",""))</f>
        <v/>
      </c>
      <c r="F13" s="17" t="inlineStr">
        <is>
          <t>3 frases y pregunta el nombre aunque el perfil ya lo tenga (Javier/Dapta: usar el primer nombre si es válido). El agente ya lo adapta, pero la plantilla debe reflejarlo.</t>
        </is>
      </c>
      <c r="G13" s="17" t="inlineStr">
        <is>
          <t>Hola, soy Lucía, la asistente virtual de JNdelT Real Estate. Te haré unas preguntas breves sobre la propiedad que quieres vender o arrendar.</t>
        </is>
      </c>
      <c r="H13" s="19" t="n"/>
    </row>
    <row r="14" ht="78" customHeight="1" s="11">
      <c r="A14" s="17" t="inlineStr">
        <is>
          <t>inicio</t>
        </is>
      </c>
      <c r="B14" s="17" t="inlineStr">
        <is>
          <t>sonia</t>
        </is>
      </c>
      <c r="C14" s="17" t="inlineStr">
        <is>
          <t>Hola, soy Sonia, la asistente virtual de JNdelT Real Estate. Te haré unas preguntas breves para entender qué propiedad buscas comprar o arrendar. ¿Cuál es tu nombre?</t>
        </is>
      </c>
      <c r="D14" s="17" t="n">
        <v>3</v>
      </c>
      <c r="E14" s="17">
        <f>LEN(C14)-LEN(SUBSTITUTE(C14,"?",""))</f>
        <v/>
      </c>
      <c r="F14" s="17" t="inlineStr">
        <is>
          <t>Igual que la de Lucía.</t>
        </is>
      </c>
      <c r="G14" s="17" t="inlineStr">
        <is>
          <t>Hola, soy Sonia, la asistente virtual de JNdelT Real Estate. Te haré unas preguntas breves sobre la propiedad que buscas comprar o arrendar.</t>
        </is>
      </c>
      <c r="H14" s="19" t="n"/>
    </row>
    <row r="15" ht="78" customHeight="1" s="11">
      <c r="A15" s="17" t="inlineStr">
        <is>
          <t>no_calificado</t>
        </is>
      </c>
      <c r="B15" s="17" t="inlineStr">
        <is>
          <t>común</t>
        </is>
      </c>
      <c r="C15" s="17" t="inlineStr">
        <is>
          <t>Gracias por compartir la información. En este momento tu caso no cumple las condiciones necesarias para continuar con el proceso.</t>
        </is>
      </c>
      <c r="D15" s="17" t="n">
        <v>2</v>
      </c>
      <c r="E15" s="17">
        <f>LEN(C15)-LEN(SUBSTITUTE(C15,"?",""))</f>
        <v/>
      </c>
      <c r="F15" s="17" t="inlineStr">
        <is>
          <t>Sin uso mientras nutricion.incluir_no_calificados = true.</t>
        </is>
      </c>
      <c r="G15" s="17" t="n"/>
      <c r="H15" s="17" t="inlineStr">
        <is>
          <t>—</t>
        </is>
      </c>
    </row>
    <row r="16" ht="78" customHeight="1" s="11">
      <c r="A16" s="17" t="inlineStr">
        <is>
          <t>no_calificado_nutricion</t>
        </is>
      </c>
      <c r="B16" s="17" t="inlineStr">
        <is>
          <t>común</t>
        </is>
      </c>
      <c r="C16" s="17" t="inlineStr">
        <is>
          <t>Gracias por compartir la información. Por ahora no podemos avanzar con una cita, pero quedas registrado y te compartiremos información útil para tu proceso. Cuando quieras retomar, escríbenos por aquí.</t>
        </is>
      </c>
      <c r="D16" s="17" t="n">
        <v>3</v>
      </c>
      <c r="E16" s="17">
        <f>LEN(C16)-LEN(SUBSTITUTE(C16,"?",""))</f>
        <v/>
      </c>
      <c r="F16" s="17" t="inlineStr">
        <is>
          <t>3 frases (Dapta: máximo 2).</t>
        </is>
      </c>
      <c r="G16" s="17" t="inlineStr">
        <is>
          <t>Gracias por la información; por ahora no podemos avanzar con una cita, pero quedas registrado. Te compartiremos información útil y puedes escribirnos cuando quieras retomar.</t>
        </is>
      </c>
      <c r="H16" s="19" t="n"/>
    </row>
    <row r="17" ht="78" customHeight="1" s="11">
      <c r="A17" s="17" t="inlineStr">
        <is>
          <t>pendiente_agenda</t>
        </is>
      </c>
      <c r="B17" s="17" t="inlineStr">
        <is>
          <t>común</t>
        </is>
      </c>
      <c r="C17" s="17" t="inlineStr">
        <is>
          <t>Ya completamos la calificación. Para continuar, todavía debes seleccionar una fecha y hora para conversar con un asesor: {{enlace_agenda}}.</t>
        </is>
      </c>
      <c r="D17" s="17" t="n">
        <v>2</v>
      </c>
      <c r="E17" s="17">
        <f>LEN(C17)-LEN(SUBSTITUTE(C17,"?",""))</f>
        <v/>
      </c>
      <c r="F17" s="17" t="inlineStr">
        <is>
          <t>Necesita aprobación de Meta (se envía fuera de la conversación) y depende de un enlace de agenda que no existe. Se reemplaza por jndelt_recordatorio_agendar.</t>
        </is>
      </c>
      <c r="G17" s="17" t="n"/>
      <c r="H17" s="17" t="inlineStr">
        <is>
          <t>—</t>
        </is>
      </c>
    </row>
    <row r="18" ht="78" customHeight="1" s="11">
      <c r="A18" s="17" t="inlineStr">
        <is>
          <t>prioridad_baja</t>
        </is>
      </c>
      <c r="B18" s="17" t="inlineStr">
        <is>
          <t>común</t>
        </is>
      </c>
      <c r="C18" s="17" t="inlineStr">
        <is>
          <t>Gracias, ya tenemos la información que necesitamos. Como aún no tienes prisa, por ahora no agendaremos una cita: quedas registrado y te compartiremos información útil para tu proceso. Cuando quieras avanzar, escríbenos por aquí.</t>
        </is>
      </c>
      <c r="D18" s="17" t="n">
        <v>3</v>
      </c>
      <c r="E18" s="17">
        <f>LEN(C18)-LEN(SUBSTITUTE(C18,"?",""))</f>
        <v/>
      </c>
      <c r="F18" s="17" t="inlineStr">
        <is>
          <t>3 frases (Dapta: máximo 2).</t>
        </is>
      </c>
      <c r="G18" s="17" t="inlineStr">
        <is>
          <t>Gracias, ya tenemos lo necesario; como aún no tienes prisa, por ahora no agendaremos una cita. Quedas registrado y puedes escribirnos por aquí cuando quieras avanzar.</t>
        </is>
      </c>
      <c r="H18" s="19" t="n"/>
    </row>
    <row r="19" ht="78" customHeight="1" s="11">
      <c r="A19" s="17" t="inlineStr">
        <is>
          <t>seleccion_intencion</t>
        </is>
      </c>
      <c r="B19" s="17" t="inlineStr">
        <is>
          <t>común</t>
        </is>
      </c>
      <c r="C19" s="17" t="inlineStr">
        <is>
          <t>Hola, soy el asistente virtual de JNdelT Real Estate. Para orientarte correctamente, cuéntame: ¿quieres vender o arrendar una propiedad tuya, o estás buscando una propiedad para comprar o arrendar?</t>
        </is>
      </c>
      <c r="D19" s="17" t="n">
        <v>2</v>
      </c>
      <c r="E19" s="17">
        <f>LEN(C19)-LEN(SUBSTITUTE(C19,"?",""))</f>
        <v/>
      </c>
      <c r="F19" s="17" t="inlineStr">
        <is>
          <t>Cumple.</t>
        </is>
      </c>
      <c r="G19" s="17" t="n"/>
      <c r="H19" s="17" t="inlineStr">
        <is>
          <t>—</t>
        </is>
      </c>
    </row>
  </sheetData>
  <dataValidations count="1">
    <dataValidation sqref="H5:H6 H8:H9 H13:H14 H16 H18" showDropDown="0" showInputMessage="0" showErrorMessage="0" allowBlank="1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2026-10-13T17:26:31Z</dcterms:created>
  <dcterms:modified xmlns:dcterms="http://purl.org/dc/terms/" xmlns:xsi="http://www.w3.org/2001/XMLSchema-instance" xsi:type="dcterms:W3CDTF">2026-10-26T18:13:35Z</dcterms:modified>
  <cp:revision>0</cp:revision>
</cp:coreProperties>
</file>