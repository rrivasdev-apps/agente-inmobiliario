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ocuments\Javier\Bienes Raices\Dualia Project\"/>
    </mc:Choice>
  </mc:AlternateContent>
  <xr:revisionPtr revIDLastSave="0" documentId="13_ncr:1_{B0CE8F6E-E64C-4409-9AB5-072449BB67A3}" xr6:coauthVersionLast="47" xr6:coauthVersionMax="47" xr10:uidLastSave="{00000000-0000-0000-0000-000000000000}"/>
  <bookViews>
    <workbookView xWindow="-120" yWindow="-120" windowWidth="20730" windowHeight="11160" tabRatio="500" activeTab="1" xr2:uid="{00000000-000D-0000-FFFF-FFFF00000000}"/>
  </bookViews>
  <sheets>
    <sheet name="Guía" sheetId="1" r:id="rId1"/>
    <sheet name="Plantillas Meta" sheetId="2" r:id="rId2"/>
    <sheet name="Verificación" sheetId="3" r:id="rId3"/>
    <sheet name="Mensajes del agente(no Meta)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9" i="4" l="1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K14" i="3"/>
  <c r="J14" i="3"/>
  <c r="I14" i="3"/>
  <c r="H14" i="3"/>
  <c r="F14" i="3"/>
  <c r="D14" i="3"/>
  <c r="C14" i="3"/>
  <c r="B14" i="3"/>
  <c r="A14" i="3"/>
  <c r="K13" i="3"/>
  <c r="J13" i="3"/>
  <c r="I13" i="3"/>
  <c r="H13" i="3"/>
  <c r="F13" i="3"/>
  <c r="D13" i="3"/>
  <c r="C13" i="3"/>
  <c r="B13" i="3"/>
  <c r="A13" i="3"/>
  <c r="K12" i="3"/>
  <c r="J12" i="3"/>
  <c r="I12" i="3"/>
  <c r="H12" i="3"/>
  <c r="F12" i="3"/>
  <c r="D12" i="3"/>
  <c r="C12" i="3"/>
  <c r="B12" i="3"/>
  <c r="A12" i="3"/>
  <c r="K11" i="3"/>
  <c r="J11" i="3"/>
  <c r="I11" i="3"/>
  <c r="H11" i="3"/>
  <c r="F11" i="3"/>
  <c r="D11" i="3"/>
  <c r="C11" i="3"/>
  <c r="B11" i="3"/>
  <c r="A11" i="3"/>
  <c r="K10" i="3"/>
  <c r="J10" i="3"/>
  <c r="I10" i="3"/>
  <c r="H10" i="3"/>
  <c r="F10" i="3"/>
  <c r="D10" i="3"/>
  <c r="C10" i="3"/>
  <c r="B10" i="3"/>
  <c r="A10" i="3"/>
  <c r="K9" i="3"/>
  <c r="J9" i="3"/>
  <c r="I9" i="3"/>
  <c r="H9" i="3"/>
  <c r="F9" i="3"/>
  <c r="L9" i="3" s="1"/>
  <c r="D9" i="3"/>
  <c r="C9" i="3"/>
  <c r="B9" i="3"/>
  <c r="A9" i="3"/>
  <c r="K8" i="3"/>
  <c r="J8" i="3"/>
  <c r="I8" i="3"/>
  <c r="H8" i="3"/>
  <c r="F8" i="3"/>
  <c r="L8" i="3" s="1"/>
  <c r="D8" i="3"/>
  <c r="C8" i="3"/>
  <c r="B8" i="3"/>
  <c r="A8" i="3"/>
  <c r="K7" i="3"/>
  <c r="J7" i="3"/>
  <c r="I7" i="3"/>
  <c r="H7" i="3"/>
  <c r="F7" i="3"/>
  <c r="D7" i="3"/>
  <c r="C7" i="3"/>
  <c r="B7" i="3"/>
  <c r="A7" i="3"/>
  <c r="K6" i="3"/>
  <c r="J6" i="3"/>
  <c r="I6" i="3"/>
  <c r="H6" i="3"/>
  <c r="F6" i="3"/>
  <c r="D6" i="3"/>
  <c r="C6" i="3"/>
  <c r="B6" i="3"/>
  <c r="A6" i="3"/>
  <c r="K5" i="3"/>
  <c r="J5" i="3"/>
  <c r="I5" i="3"/>
  <c r="H5" i="3"/>
  <c r="F5" i="3"/>
  <c r="D5" i="3"/>
  <c r="C5" i="3"/>
  <c r="B5" i="3"/>
  <c r="A5" i="3"/>
  <c r="L5" i="3" l="1"/>
  <c r="L6" i="3"/>
  <c r="L7" i="3"/>
  <c r="L10" i="3"/>
  <c r="L12" i="3"/>
  <c r="L11" i="3"/>
  <c r="L14" i="3"/>
  <c r="L13" i="3"/>
  <c r="B16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4" authorId="0" shapeId="0" xr:uid="{00000000-0006-0000-0100-000001000000}">
      <text>
        <r>
          <rPr>
            <sz val="10"/>
            <rFont val="Arial"/>
            <family val="2"/>
          </rPr>
          <t>UTILITY: sobre una solicitud o transacción del cliente (citas, registro). MARKETING: promoción, reenganche o contenido; Meta puede reclasificar una plantilla.</t>
        </r>
      </text>
    </comment>
    <comment ref="J4" authorId="0" shapeId="0" xr:uid="{00000000-0006-0000-0100-000002000000}">
      <text>
        <r>
          <rPr>
            <sz val="10"/>
            <rFont val="Arial"/>
            <family val="2"/>
          </rPr>
          <t>Las plantillas de marketing deben permitir darse de baja; el sistema tendrá que respetar la palabra SALIR.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E5" authorId="0" shapeId="0" xr:uid="{00000000-0006-0000-0200-000001000000}">
      <text>
        <r>
          <rPr>
            <sz val="10"/>
            <rFont val="Arial"/>
            <family val="2"/>
          </rPr>
          <t>Calculado al generar el archivo: oraciones separadas por punto, signo de interrogación o exclamación.</t>
        </r>
      </text>
    </comment>
    <comment ref="E6" authorId="0" shapeId="0" xr:uid="{00000000-0006-0000-0200-000002000000}">
      <text>
        <r>
          <rPr>
            <sz val="10"/>
            <rFont val="Arial"/>
            <family val="2"/>
          </rPr>
          <t>Calculado al generar el archivo: oraciones separadas por punto, signo de interrogación o exclamación.</t>
        </r>
      </text>
    </comment>
    <comment ref="E7" authorId="0" shapeId="0" xr:uid="{00000000-0006-0000-0200-000003000000}">
      <text>
        <r>
          <rPr>
            <sz val="10"/>
            <rFont val="Arial"/>
            <family val="2"/>
          </rPr>
          <t>Calculado al generar el archivo: oraciones separadas por punto, signo de interrogación o exclamación.</t>
        </r>
      </text>
    </comment>
    <comment ref="E8" authorId="0" shapeId="0" xr:uid="{00000000-0006-0000-0200-000004000000}">
      <text>
        <r>
          <rPr>
            <sz val="10"/>
            <rFont val="Arial"/>
            <family val="2"/>
          </rPr>
          <t>Calculado al generar el archivo: oraciones separadas por punto, signo de interrogación o exclamación.</t>
        </r>
      </text>
    </comment>
    <comment ref="E9" authorId="0" shapeId="0" xr:uid="{00000000-0006-0000-0200-000005000000}">
      <text>
        <r>
          <rPr>
            <sz val="10"/>
            <rFont val="Arial"/>
            <family val="2"/>
          </rPr>
          <t>Calculado al generar el archivo: oraciones separadas por punto, signo de interrogación o exclamación.</t>
        </r>
      </text>
    </comment>
    <comment ref="E10" authorId="0" shapeId="0" xr:uid="{00000000-0006-0000-0200-000006000000}">
      <text>
        <r>
          <rPr>
            <sz val="10"/>
            <rFont val="Arial"/>
            <family val="2"/>
          </rPr>
          <t>Calculado al generar el archivo: oraciones separadas por punto, signo de interrogación o exclamación.</t>
        </r>
      </text>
    </comment>
    <comment ref="E11" authorId="0" shapeId="0" xr:uid="{00000000-0006-0000-0200-000007000000}">
      <text>
        <r>
          <rPr>
            <sz val="10"/>
            <rFont val="Arial"/>
            <family val="2"/>
          </rPr>
          <t>Calculado al generar el archivo: oraciones separadas por punto, signo de interrogación o exclamación.</t>
        </r>
      </text>
    </comment>
    <comment ref="E12" authorId="0" shapeId="0" xr:uid="{00000000-0006-0000-0200-000008000000}">
      <text>
        <r>
          <rPr>
            <sz val="10"/>
            <rFont val="Arial"/>
            <family val="2"/>
          </rPr>
          <t>Calculado al generar el archivo: oraciones separadas por punto, signo de interrogación o exclamación.</t>
        </r>
      </text>
    </comment>
    <comment ref="E13" authorId="0" shapeId="0" xr:uid="{00000000-0006-0000-0200-000009000000}">
      <text>
        <r>
          <rPr>
            <sz val="10"/>
            <rFont val="Arial"/>
            <family val="2"/>
          </rPr>
          <t>Calculado al generar el archivo: oraciones separadas por punto, signo de interrogación o exclamación.</t>
        </r>
      </text>
    </comment>
    <comment ref="E14" authorId="0" shapeId="0" xr:uid="{00000000-0006-0000-0200-00000A000000}">
      <text>
        <r>
          <rPr>
            <sz val="10"/>
            <rFont val="Arial"/>
            <family val="2"/>
          </rPr>
          <t>Calculado al generar el archivo: oraciones separadas por punto, signo de interrogación o exclamación.</t>
        </r>
      </text>
    </comment>
  </commentList>
</comments>
</file>

<file path=xl/sharedStrings.xml><?xml version="1.0" encoding="utf-8"?>
<sst xmlns="http://schemas.openxmlformats.org/spreadsheetml/2006/main" count="256" uniqueCount="180">
  <si>
    <t>Cómo usar este archivo</t>
  </si>
  <si>
    <t>Qué requiere aprobación</t>
  </si>
  <si>
    <t>Solo los mensajes que el negocio envía por iniciativa propia o cuando pasaron más de 24 h desde el último mensaje del cliente. Las respuestas del agente dentro de la conversación no la requieren (hoja "Mensajes del agente").</t>
  </si>
  <si>
    <t>Dónde se envían</t>
  </si>
  <si>
    <t>WhatsApp Manager → Plantillas de mensajes → Crear plantilla, en la cuenta de WhatsApp Business del número de producción de JNdelT.</t>
  </si>
  <si>
    <t>Orden sugerido</t>
  </si>
  <si>
    <t>1) Fase 1: recordatorio de agendar, recordatorio y cambios de cita, retomar conversación. 2) Adicionales: dossier y reenganche, si se aprueban. 3) Futuro: bienvenida de formularios, solo si entran formularios o voz.</t>
  </si>
  <si>
    <t>Columnas a llenar</t>
  </si>
  <si>
    <t>Amarillas: Estado en Meta, Fecha de envío y Comentarios de Meta (hoja "Plantillas Meta"), y Aplicar (hoja "Mensajes del agente").</t>
  </si>
  <si>
    <t>Ejemplo de llenado</t>
  </si>
  <si>
    <t>Estado en Meta: Aprobada · Fecha de envío: 2026-10-20 · Comentarios de Meta: Reclasificada como MARKETING.</t>
  </si>
  <si>
    <t>Variables</t>
  </si>
  <si>
    <t>{{1}} es siempre el primer nombre validado (sin títulos ni nombres genéricos). Meta pide un ejemplo por variable; ya están en la columna "Variables y ejemplos".</t>
  </si>
  <si>
    <t>Fuentes</t>
  </si>
  <si>
    <t>Sugerencias de Javier (9 y 13 oct), prompt de Dapta para Lucía (estilo, nombre, objeciones, fechas y horas) y propuesta comercial §4.3: plantillas aprobadas para cualquier mensaje iniciado por el negocio.</t>
  </si>
  <si>
    <t>Pendiente técnico</t>
  </si>
  <si>
    <t>Ninguna de estas plantillas se envía todavía: falta construir los envíos programados (recordatorios, seguimiento) y el webhook de citas de GoHighLevel.</t>
  </si>
  <si>
    <t>Plantillas de WhatsApp para aprobación de Meta — JNdelT Real Estate</t>
  </si>
  <si>
    <t>Idioma: Español (es). Solo WhatsApp: Instagram no usa plantillas. Las columnas amarillas (Estado en Meta, Fecha de envío, Comentarios de Meta) son para llenar al enviarlas.</t>
  </si>
  <si>
    <t>#</t>
  </si>
  <si>
    <t>Nombre de la plantilla</t>
  </si>
  <si>
    <t>Categoría</t>
  </si>
  <si>
    <t>Prioridad</t>
  </si>
  <si>
    <t>Cuándo se envía</t>
  </si>
  <si>
    <t>Rol</t>
  </si>
  <si>
    <t>Encabezado</t>
  </si>
  <si>
    <t>Cuerpo (texto para Meta)</t>
  </si>
  <si>
    <t>Variables y ejemplos (Meta los pide)</t>
  </si>
  <si>
    <t>Pie de página</t>
  </si>
  <si>
    <t>Botones</t>
  </si>
  <si>
    <t>Estado en el sistema</t>
  </si>
  <si>
    <t>Notas de cumplimiento</t>
  </si>
  <si>
    <t>Estado en Meta</t>
  </si>
  <si>
    <t>Fecha de envío</t>
  </si>
  <si>
    <t>Comentarios de Meta</t>
  </si>
  <si>
    <t>jndelt_recordatorio_agendar</t>
  </si>
  <si>
    <t>UTILITY</t>
  </si>
  <si>
    <t>Fase 1 (§4.3)</t>
  </si>
  <si>
    <t>Calificó con prioridad alta, se le ofrecieron horarios y pasaron 24 h sin que eligiera. Reemplaza la plantilla interna pendiente_agenda.</t>
  </si>
  <si>
    <t>Lucía y Sonia</t>
  </si>
  <si>
    <t>Hola {{1}}, tu registro en JNdelT Real Estate está listo y solo falta reservar la conversación con un asesor. ¿Te muestro los horarios disponibles?</t>
  </si>
  <si>
    <t>{{1}} primer nombre = Andrea</t>
  </si>
  <si>
    <t>Respuesta rápida: "Ver horarios" · "Más adelante"</t>
  </si>
  <si>
    <t>Por construir: el flujo aún no envía mensajes fuera de la conversación.</t>
  </si>
  <si>
    <t>Al tocar "Ver horarios" se reabre la ventana de 24 h y el agente ofrece horarios reales del calendario (Dapta: no proponer horarios inventados).</t>
  </si>
  <si>
    <t>Borrador</t>
  </si>
  <si>
    <t>jndelt_recordatorio_cita</t>
  </si>
  <si>
    <t>24 h antes de una cita confirmada.</t>
  </si>
  <si>
    <t>{{1}} = Andrea · {{2}} = martes 14 de octubre · {{3}} = 10:00 a. m. · {{4}} = llamada</t>
  </si>
  <si>
    <t>Respuesta rápida: "Confirmo" · "Necesito cambiarla"</t>
  </si>
  <si>
    <t>Por construir (recordatorio programado).</t>
  </si>
  <si>
    <t>Fecha en lenguaje natural y hora con a. m./p. m. (Dapta: fechas y horas naturales con periodo del día).</t>
  </si>
  <si>
    <t>jndelt_cita_confirmada</t>
  </si>
  <si>
    <t>Cita reservada fuera de la conversación (enlace de GoHighLevel) o confirmada después de 24 h.</t>
  </si>
  <si>
    <t>{{1}} = Andrea · {{2}} = martes 14 de octubre · {{3}} = 10:00 a. m. · {{4}} = videollamada</t>
  </si>
  <si>
    <t>—</t>
  </si>
  <si>
    <t>Por construir (webhook de citas de GoHighLevel).</t>
  </si>
  <si>
    <t>Solo se envía con la cita confirmada por GoHighLevel (no promete contacto sin cita).</t>
  </si>
  <si>
    <t>jndelt_cita_reprogramada</t>
  </si>
  <si>
    <t>La cita se movió desde GoHighLevel.</t>
  </si>
  <si>
    <t>Hola {{1}}, tu cita con JNdelT Real Estate cambió al {{2}} a las {{3}}, hora de Colombia. Si ese horario no te sirve, responde a este mensaje.</t>
  </si>
  <si>
    <t>{{1}} = Andrea · {{2}} = jueves 16 de octubre · {{3}} = 3:00 p. m.</t>
  </si>
  <si>
    <t>Respuesta rápida: "Me sirve" · "Necesito otro horario"</t>
  </si>
  <si>
    <t>jndelt_cita_cancelada</t>
  </si>
  <si>
    <t>La cita se canceló desde GoHighLevel.</t>
  </si>
  <si>
    <t>Hola {{1}}, tu cita del {{2}} con JNdelT Real Estate fue cancelada. ¿Quieres que te muestre nuevos horarios?</t>
  </si>
  <si>
    <t>{{1}} = Andrea · {{2}} = martes 14 de octubre</t>
  </si>
  <si>
    <t>Respuesta rápida: "Ver horarios" · "Ahora no"</t>
  </si>
  <si>
    <t>jndelt_retomar_conversacion</t>
  </si>
  <si>
    <t>MARKETING</t>
  </si>
  <si>
    <t>Conversación incompleta: la persona dejó de responder o pidió hablar en otro momento (Dapta: "¿Cuándo sería mejor momento?").</t>
  </si>
  <si>
    <t>{{1}} = Andrea</t>
  </si>
  <si>
    <t>Responde SALIR para no recibir más mensajes</t>
  </si>
  <si>
    <t>Respuesta rápida: "Sí, sigamos" · "Ahora no"</t>
  </si>
  <si>
    <t>Por construir (seguimiento programado).</t>
  </si>
  <si>
    <t>Meta probablemente la clasifique como marketing; requiere manejar la baja (SALIR).</t>
  </si>
  <si>
    <t>jndelt_dossier</t>
  </si>
  <si>
    <t>Adicional A4 (§5)</t>
  </si>
  <si>
    <t>Envío del dossier a prioridad baja o no calificados cuando ya pasaron 24 h.</t>
  </si>
  <si>
    <t>Documento (PDF del dossier)</t>
  </si>
  <si>
    <t>{{1}} = Andrea · Encabezado: dossier-jndelt.pdf</t>
  </si>
  <si>
    <t>Respuesta rápida: "Quiero avanzar" · "No me interesa"</t>
  </si>
  <si>
    <t>Parcial: dentro de las 24 h ya se envía sin plantilla; falta el PDF y el envío posterior.</t>
  </si>
  <si>
    <t>Contenido del dossier según Javier: modelo de negocio, propiedades y tips de exclusividad.</t>
  </si>
  <si>
    <t>jndelt_reenganche</t>
  </si>
  <si>
    <t>Nutrición: contacto de prioridad baja, a los 30-60 días.</t>
  </si>
  <si>
    <t>{{1}} = Andrea · {{2}} = vender</t>
  </si>
  <si>
    <t>Respuesta rápida: "Sí, quiero avanzar" · "Ahora no"</t>
  </si>
  <si>
    <t>Fuera de la propuesta (§5: reenganche de archivados). Sin "interesado/a" para no asumir género.</t>
  </si>
  <si>
    <t>jndelt_bienvenida_formulario_propietario</t>
  </si>
  <si>
    <t>Futuro (formularios o voz)</t>
  </si>
  <si>
    <t>Lead que llenó un formulario de Meta para vender o arrendar; primer mensaje del negocio.</t>
  </si>
  <si>
    <t>Lucía</t>
  </si>
  <si>
    <t>Respuesta rápida: "Sí, continuemos" · "Más tarde"</t>
  </si>
  <si>
    <t>No aplica todavía: el alcance actual es entrante por WhatsApp e Instagram.</t>
  </si>
  <si>
    <t>Tomado del flujo de Dapta ("¿Tienes un minuto para responder dos preguntas breves?"). Se presenta como asistente virtual.</t>
  </si>
  <si>
    <t>jndelt_bienvenida_formulario_comprador</t>
  </si>
  <si>
    <t>Lead que llenó un formulario de Meta para comprar o arrendar.</t>
  </si>
  <si>
    <t>Sonia</t>
  </si>
  <si>
    <t>No aplica todavía.</t>
  </si>
  <si>
    <t>Verificación contra las sugerencias de Javier, el prompt de Dapta y las reglas de Meta</t>
  </si>
  <si>
    <t>Las columnas con fórmula se recalculan si editas el cuerpo en "Plantillas Meta". Frases y emojis se calcularon al generar el archivo.</t>
  </si>
  <si>
    <t>Plantilla</t>
  </si>
  <si>
    <t>Caracteres (máx. 1024)</t>
  </si>
  <si>
    <t>Marca JNdelT</t>
  </si>
  <si>
    <t>Preguntas (máx. 1, Dapta)</t>
  </si>
  <si>
    <t>Frases (máx. 2-3, Dapta)</t>
  </si>
  <si>
    <t>Tuteo (sin "usted")</t>
  </si>
  <si>
    <t>Sin emojis (Javier/Dapta)</t>
  </si>
  <si>
    <t>No empieza con variable (Meta)</t>
  </si>
  <si>
    <t>No termina en variable (Meta)</t>
  </si>
  <si>
    <t>Usa primer nombre {{1}}</t>
  </si>
  <si>
    <t>No pide correo (Dapta)</t>
  </si>
  <si>
    <t>Resultado</t>
  </si>
  <si>
    <t>Sí</t>
  </si>
  <si>
    <t>Plantillas que cumplen</t>
  </si>
  <si>
    <t>Mensajes que el agente envía dentro de la conversación (no requieren aprobación de Meta)</t>
  </si>
  <si>
    <t>Revisados contra Javier y Dapta: tuteo, sin emojis, marca JNdelT, una pregunta y máximo 2 frases por mensaje. Ninguno usa emojis ni "usted".</t>
  </si>
  <si>
    <t>Clave</t>
  </si>
  <si>
    <t>Texto actual</t>
  </si>
  <si>
    <t>Frases</t>
  </si>
  <si>
    <t>Preguntas</t>
  </si>
  <si>
    <t>Hallazgo</t>
  </si>
  <si>
    <t>Texto propuesto</t>
  </si>
  <si>
    <t>Aplicar (Sí/No)</t>
  </si>
  <si>
    <t>calificado</t>
  </si>
  <si>
    <t>lucia</t>
  </si>
  <si>
    <t>Gracias, cumples con los criterios para continuar. El siguiente paso es agendar una conversación con uno de nuestros asesores. ¿Cuál de estos horarios prefieres? {{horarios_disponibles}}</t>
  </si>
  <si>
    <t>3 frases (Dapta: máximo 2).</t>
  </si>
  <si>
    <t>Perfecto, ya tenemos lo necesario para avanzar. ¿Cuál de estos horarios prefieres para hablar con un asesor?
{{horarios_disponibles}}</t>
  </si>
  <si>
    <t>sonia</t>
  </si>
  <si>
    <t>Gracias, ya contamos con la información necesaria y cumples con los criterios para continuar. Ahora puedes agendar una conversación con uno de nuestros asesores. ¿Cuál de estos horarios prefieres? {{horarios_disponibles}}</t>
  </si>
  <si>
    <t>comentario_instagram</t>
  </si>
  <si>
    <t>común</t>
  </si>
  <si>
    <t>¡Hola! Gracias por escribirnos. Envíanos un mensaje directo con la palabra INFO para poder ayudarte.</t>
  </si>
  <si>
    <t>Cumple.</t>
  </si>
  <si>
    <t>confirmacion</t>
  </si>
  <si>
    <t>Tu cita quedó confirmada para el {{fecha}} a las {{hora}}, zona horaria {{zona_horaria}}, mediante {{modalidad}}. El asesor asignado continuará contigo en ese momento.</t>
  </si>
  <si>
    <t>"zona horaria Colombia" se lee forzado.</t>
  </si>
  <si>
    <t>Listo, tu cita quedó confirmada para el {{fecha}} a las {{hora}}, hora de {{zona_horaria}}, por {{modalidad}}. Un asesor de JNdelT Real Estate te atenderá en ese momento.</t>
  </si>
  <si>
    <t>direccion_ambigua</t>
  </si>
  <si>
    <t>No pude identificar la dirección con suficiente precisión. ¿Podrías confirmar la ciudad, el barrio y la dirección completa o compartir un punto de referencia?</t>
  </si>
  <si>
    <t>Pide cuatro datos en una sola pregunta (Dapta: una pregunta por turno).</t>
  </si>
  <si>
    <t>No logré ubicar la dirección con precisión. ¿Me confirmas la dirección completa con el barrio, o un punto de referencia cercano?</t>
  </si>
  <si>
    <t>enlace_agenda</t>
  </si>
  <si>
    <t>Puedes escoger el horario que mejor te convenga aquí: {{enlace_agenda}}. La cita quedará confirmada cuando completes la reserva.</t>
  </si>
  <si>
    <t>Sin uso: no hay enlace de agenda configurado.</t>
  </si>
  <si>
    <t>falla_agenda</t>
  </si>
  <si>
    <t>No fue posible confirmar la cita en este momento. Tu información quedó registrada, pero el horario aún no está reservado.</t>
  </si>
  <si>
    <t>horario_agotado</t>
  </si>
  <si>
    <t>Ese horario ya no se encuentra disponible. Puedo ofrecerte estas alternativas: {{horarios_alternativos}}.</t>
  </si>
  <si>
    <t>inicio</t>
  </si>
  <si>
    <t>Hola, soy Lucía, la asistente virtual de JNdelT Real Estate. Te haré unas preguntas breves para conocer la propiedad que deseas vender o arrendar y determinar el siguiente paso. ¿Cuál es tu nombre?</t>
  </si>
  <si>
    <t>3 frases y pregunta el nombre aunque el perfil ya lo tenga (Javier/Dapta: usar el primer nombre si es válido). El agente ya lo adapta, pero la plantilla debe reflejarlo.</t>
  </si>
  <si>
    <t>Hola, soy Lucía, la asistente virtual de JNdelT Real Estate. Te haré unas preguntas breves sobre la propiedad que quieres vender o arrendar.</t>
  </si>
  <si>
    <t>Hola, soy Sonia, la asistente virtual de JNdelT Real Estate. Te haré unas preguntas breves para entender qué propiedad buscas comprar o arrendar. ¿Cuál es tu nombre?</t>
  </si>
  <si>
    <t>Igual que la de Lucía.</t>
  </si>
  <si>
    <t>Hola, soy Sonia, la asistente virtual de JNdelT Real Estate. Te haré unas preguntas breves sobre la propiedad que buscas comprar o arrendar.</t>
  </si>
  <si>
    <t>no_calificado</t>
  </si>
  <si>
    <t>Gracias por compartir la información. En este momento tu caso no cumple las condiciones necesarias para continuar con el proceso.</t>
  </si>
  <si>
    <t>Sin uso mientras nutricion.incluir_no_calificados = true.</t>
  </si>
  <si>
    <t>no_calificado_nutricion</t>
  </si>
  <si>
    <t>Gracias por compartir la información. Por ahora no podemos avanzar con una cita, pero quedas registrado y te compartiremos información útil para tu proceso. Cuando quieras retomar, escríbenos por aquí.</t>
  </si>
  <si>
    <t>Gracias por la información; por ahora no podemos avanzar con una cita, pero quedas registrado. Te compartiremos información útil y puedes escribirnos cuando quieras retomar.</t>
  </si>
  <si>
    <t>pendiente_agenda</t>
  </si>
  <si>
    <t>Ya completamos la calificación. Para continuar, todavía debes seleccionar una fecha y hora para conversar con un asesor: {{enlace_agenda}}.</t>
  </si>
  <si>
    <t>Necesita aprobación de Meta (se envía fuera de la conversación) y depende de un enlace de agenda que no existe. Se reemplaza por jndelt_recordatorio_agendar.</t>
  </si>
  <si>
    <t>prioridad_baja</t>
  </si>
  <si>
    <t>Gracias, ya tenemos la información que necesitamos. Como aún no tienes prisa, por ahora no agendaremos una cita: quedas registrado y te compartiremos información útil para tu proceso. Cuando quieras avanzar, escríbenos por aquí.</t>
  </si>
  <si>
    <t>Gracias, ya tenemos lo necesario; como aún no tienes prisa, por ahora no agendaremos una cita. Quedas registrado y puedes escribirnos por aquí cuando quieras avanzar.</t>
  </si>
  <si>
    <t>seleccion_intencion</t>
  </si>
  <si>
    <t>Hola, soy el asistente virtual de JNdelT Real Estate. Para orientarte correctamente, cuéntame: ¿quieres vender o arrendar una propiedad tuya, o estás buscando una propiedad para comprar o arrendar?</t>
  </si>
  <si>
    <r>
      <t xml:space="preserve">Hola {{1}}, soy Lucía, la asistente virtual de JNdelT Real Estate. Recibimos tu solicitud sobre tu propiedad. ¿Tienes un minuto para unas preguntas breves? </t>
    </r>
    <r>
      <rPr>
        <sz val="10"/>
        <color rgb="FFFF0000"/>
        <rFont val="Arial"/>
        <family val="2"/>
      </rPr>
      <t>Mi opción: Hola [nombre], mucho gusto, soy Lucía de JNdelT Real Estate. Gracias por escribirnos sobre tu propiedad. Cuéntame, ¿qué tipo de inmueble es: apartamento, casa, local?</t>
    </r>
  </si>
  <si>
    <r>
      <t xml:space="preserve">Hola {{1}}, soy Sonia, la asistente virtual de JNdelT Real Estate. Recibimos tu solicitud sobre las propiedades que buscas. ¿Tienes un minuto para unas preguntas breves? </t>
    </r>
    <r>
      <rPr>
        <sz val="10"/>
        <color rgb="FFFF0000"/>
        <rFont val="Arial"/>
        <family val="2"/>
      </rPr>
      <t>Mi opción: Hola [nombre], mucho gusto, soy Sonia de JNdelT Real Estate (asistente virtual). Vi que te interesó [el apartamento en (zona)]. Con gusto te cuento más y coordinamos una visita si te parece. Para empezar: ¿lo estás pensando para vivir o como inversión?</t>
    </r>
  </si>
  <si>
    <r>
      <t xml:space="preserve">Hola {{1}}, te compartimos información de JNdelT Real Estate: cómo trabajamos, propiedades disponibles y por qué la exclusividad funciona. Cuando quieras avanzar, escríbenos por aquí. </t>
    </r>
    <r>
      <rPr>
        <sz val="10"/>
        <color rgb="FFFF0000"/>
        <rFont val="Arial"/>
        <family val="2"/>
      </rPr>
      <t>Mi opción: Perfecto, [nombre], gracias por contarme. Para que tengas claro cómo trabajamos y qué puedes esperar al vender tu [tipo de inmueble], te preparé un video de [3] minutos. Verás el proceso paso a paso y por qué trabajar con exclusividad ayuda a vender mejor y más rápid
[VIDEO / LINK]
Cuando lo veas, cuéntame qué te pareció. Si te hace sentido, coordinamos una visita a tu propiedad para valorarla sin compromiso.</t>
    </r>
  </si>
  <si>
    <r>
      <t xml:space="preserve">Hola {{1}}, te escribimos de JNdelT Real Estate. Hace un tiempo nos contaste que </t>
    </r>
    <r>
      <rPr>
        <sz val="10"/>
        <color rgb="FFFF0000"/>
        <rFont val="Arial"/>
        <family val="2"/>
      </rPr>
      <t>piensas</t>
    </r>
    <r>
      <rPr>
        <sz val="10"/>
        <rFont val="Arial"/>
        <charset val="1"/>
      </rPr>
      <t xml:space="preserve"> {{2}} una propiedad; ¿sigue en tus planes?</t>
    </r>
  </si>
  <si>
    <r>
      <rPr>
        <sz val="10"/>
        <color rgb="FFFF0000"/>
        <rFont val="Arial"/>
        <family val="2"/>
      </rPr>
      <t xml:space="preserve">Lucía </t>
    </r>
    <r>
      <rPr>
        <sz val="10"/>
        <rFont val="Arial"/>
        <charset val="1"/>
      </rPr>
      <t>y Sonia</t>
    </r>
  </si>
  <si>
    <r>
      <t xml:space="preserve">Hola {{1}}, quedó pendiente terminar tu registro con </t>
    </r>
    <r>
      <rPr>
        <sz val="10"/>
        <color rgb="FFFF0000"/>
        <rFont val="Arial"/>
        <family val="2"/>
      </rPr>
      <t>nosotros</t>
    </r>
    <r>
      <rPr>
        <sz val="10"/>
        <rFont val="Arial"/>
        <charset val="1"/>
      </rPr>
      <t>. ¿Seguimos donde quedamos?</t>
    </r>
  </si>
  <si>
    <r>
      <t xml:space="preserve">Hola {{1}}, tu cita con JNdelT Real Estate quedó confirmada para el {{2}} a las {{3}}, hora de Colombia, por {{4}}. </t>
    </r>
    <r>
      <rPr>
        <sz val="10"/>
        <color rgb="FFFF0000"/>
        <rFont val="Arial"/>
        <family val="2"/>
      </rPr>
      <t>Nuestro asesor</t>
    </r>
    <r>
      <rPr>
        <sz val="10"/>
        <rFont val="Arial"/>
        <charset val="1"/>
      </rPr>
      <t xml:space="preserve"> te atenderá en ese momento.</t>
    </r>
  </si>
  <si>
    <r>
      <t xml:space="preserve">Hola {{1}}, te recordamos tu cita con JNdelT Real Estate el {{2}} a las {{3}}, hora de Colombia, por {{4}}. Si necesitas cambiarla, </t>
    </r>
    <r>
      <rPr>
        <sz val="10"/>
        <color rgb="FFFF0000"/>
        <rFont val="Arial"/>
        <family val="2"/>
      </rPr>
      <t>déjame saber sobre este mensaje</t>
    </r>
    <r>
      <rPr>
        <sz val="10"/>
        <rFont val="Arial"/>
        <charset val="1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</si>
</sst>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0"/>
      <color rgb="FFFFFFFF"/>
      <name val="Arial"/>
      <charset val="1"/>
    </font>
    <font>
      <sz val="10"/>
      <name val="Arial"/>
      <family val="2"/>
    </font>
    <font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D6B57"/>
        <bgColor rgb="FF008080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 style="thin">
        <color rgb="FFD0D7D3"/>
      </left>
      <right style="thin">
        <color rgb="FFD0D7D3"/>
      </right>
      <top style="thin">
        <color rgb="FFD0D7D3"/>
      </top>
      <bottom style="thin">
        <color rgb="FFD0D7D3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 wrapText="1"/>
    </xf>
    <xf numFmtId="0" fontId="3" fillId="0" borderId="0" xfId="0" applyFont="1"/>
    <xf numFmtId="0" fontId="4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/>
    </xf>
    <xf numFmtId="0" fontId="5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D6B57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0D7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zoomScaleNormal="100" workbookViewId="0"/>
  </sheetViews>
  <sheetFormatPr baseColWidth="10" defaultColWidth="8.7109375" defaultRowHeight="15" x14ac:dyDescent="0.25"/>
  <cols>
    <col min="1" max="1" width="24" customWidth="1"/>
    <col min="2" max="2" width="110" customWidth="1"/>
  </cols>
  <sheetData>
    <row r="1" spans="1:2" ht="18" x14ac:dyDescent="0.25">
      <c r="A1" s="1" t="s">
        <v>0</v>
      </c>
    </row>
    <row r="3" spans="1:2" ht="33.75" customHeight="1" x14ac:dyDescent="0.25">
      <c r="A3" s="2" t="s">
        <v>1</v>
      </c>
      <c r="B3" s="3" t="s">
        <v>2</v>
      </c>
    </row>
    <row r="4" spans="1:2" ht="33.75" customHeight="1" x14ac:dyDescent="0.25">
      <c r="A4" s="2" t="s">
        <v>3</v>
      </c>
      <c r="B4" s="3" t="s">
        <v>4</v>
      </c>
    </row>
    <row r="5" spans="1:2" ht="33.75" customHeight="1" x14ac:dyDescent="0.25">
      <c r="A5" s="2" t="s">
        <v>5</v>
      </c>
      <c r="B5" s="3" t="s">
        <v>6</v>
      </c>
    </row>
    <row r="6" spans="1:2" ht="33.75" customHeight="1" x14ac:dyDescent="0.25">
      <c r="A6" s="2" t="s">
        <v>7</v>
      </c>
      <c r="B6" s="3" t="s">
        <v>8</v>
      </c>
    </row>
    <row r="7" spans="1:2" ht="33.75" customHeight="1" x14ac:dyDescent="0.25">
      <c r="A7" s="2" t="s">
        <v>9</v>
      </c>
      <c r="B7" s="3" t="s">
        <v>10</v>
      </c>
    </row>
    <row r="8" spans="1:2" ht="33.75" customHeight="1" x14ac:dyDescent="0.25">
      <c r="A8" s="2" t="s">
        <v>11</v>
      </c>
      <c r="B8" s="3" t="s">
        <v>12</v>
      </c>
    </row>
    <row r="9" spans="1:2" ht="33.75" customHeight="1" x14ac:dyDescent="0.25">
      <c r="A9" s="2" t="s">
        <v>13</v>
      </c>
      <c r="B9" s="3" t="s">
        <v>14</v>
      </c>
    </row>
    <row r="10" spans="1:2" ht="33.75" customHeight="1" x14ac:dyDescent="0.25">
      <c r="A10" s="2" t="s">
        <v>15</v>
      </c>
      <c r="B10" s="3" t="s">
        <v>16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4"/>
  <sheetViews>
    <sheetView tabSelected="1" zoomScaleNormal="100" workbookViewId="0">
      <pane xSplit="2" ySplit="4" topLeftCell="E5" activePane="bottomRight" state="frozen"/>
      <selection pane="topRight" activeCell="C1" sqref="C1"/>
      <selection pane="bottomLeft" activeCell="A5" sqref="A5"/>
      <selection pane="bottomRight" activeCell="H5" sqref="H5"/>
    </sheetView>
  </sheetViews>
  <sheetFormatPr baseColWidth="10" defaultColWidth="8.7109375" defaultRowHeight="15" x14ac:dyDescent="0.25"/>
  <cols>
    <col min="1" max="1" width="4" customWidth="1"/>
    <col min="2" max="2" width="30" customWidth="1"/>
    <col min="3" max="3" width="12" customWidth="1"/>
    <col min="4" max="4" width="16" customWidth="1"/>
    <col min="5" max="5" width="38" customWidth="1"/>
    <col min="6" max="6" width="12" customWidth="1"/>
    <col min="7" max="7" width="16" customWidth="1"/>
    <col min="8" max="8" width="60" customWidth="1"/>
    <col min="9" max="9" width="34" customWidth="1"/>
    <col min="10" max="10" width="24" customWidth="1"/>
    <col min="11" max="11" width="30" customWidth="1"/>
    <col min="12" max="12" width="32" customWidth="1"/>
    <col min="13" max="13" width="40" customWidth="1"/>
    <col min="14" max="14" width="14" customWidth="1"/>
    <col min="15" max="15" width="13" customWidth="1"/>
    <col min="16" max="16" width="28" customWidth="1"/>
  </cols>
  <sheetData>
    <row r="1" spans="1:16" ht="18" x14ac:dyDescent="0.25">
      <c r="A1" s="1" t="s">
        <v>17</v>
      </c>
    </row>
    <row r="2" spans="1:16" x14ac:dyDescent="0.25">
      <c r="A2" s="4" t="s">
        <v>18</v>
      </c>
    </row>
    <row r="4" spans="1:16" ht="31.5" customHeight="1" x14ac:dyDescent="0.25">
      <c r="A4" s="5" t="s">
        <v>19</v>
      </c>
      <c r="B4" s="5" t="s">
        <v>20</v>
      </c>
      <c r="C4" s="5" t="s">
        <v>21</v>
      </c>
      <c r="D4" s="5" t="s">
        <v>22</v>
      </c>
      <c r="E4" s="5" t="s">
        <v>23</v>
      </c>
      <c r="F4" s="5" t="s">
        <v>24</v>
      </c>
      <c r="G4" s="5" t="s">
        <v>25</v>
      </c>
      <c r="H4" s="5" t="s">
        <v>26</v>
      </c>
      <c r="I4" s="5" t="s">
        <v>27</v>
      </c>
      <c r="J4" s="5" t="s">
        <v>28</v>
      </c>
      <c r="K4" s="5" t="s">
        <v>29</v>
      </c>
      <c r="L4" s="5" t="s">
        <v>30</v>
      </c>
      <c r="M4" s="5" t="s">
        <v>31</v>
      </c>
      <c r="N4" s="5" t="s">
        <v>32</v>
      </c>
      <c r="O4" s="5" t="s">
        <v>33</v>
      </c>
      <c r="P4" s="5" t="s">
        <v>34</v>
      </c>
    </row>
    <row r="5" spans="1:16" ht="96" customHeight="1" x14ac:dyDescent="0.25">
      <c r="A5" s="6">
        <v>1</v>
      </c>
      <c r="B5" s="7" t="s">
        <v>35</v>
      </c>
      <c r="C5" s="6" t="s">
        <v>36</v>
      </c>
      <c r="D5" s="6" t="s">
        <v>37</v>
      </c>
      <c r="E5" s="6" t="s">
        <v>38</v>
      </c>
      <c r="F5" s="6" t="s">
        <v>39</v>
      </c>
      <c r="G5" s="6"/>
      <c r="H5" s="10" t="s">
        <v>40</v>
      </c>
      <c r="I5" s="6" t="s">
        <v>41</v>
      </c>
      <c r="J5" s="6"/>
      <c r="K5" s="6" t="s">
        <v>42</v>
      </c>
      <c r="L5" s="6" t="s">
        <v>43</v>
      </c>
      <c r="M5" s="6" t="s">
        <v>44</v>
      </c>
      <c r="N5" s="8" t="s">
        <v>45</v>
      </c>
      <c r="O5" s="8"/>
      <c r="P5" s="8"/>
    </row>
    <row r="6" spans="1:16" ht="96" customHeight="1" x14ac:dyDescent="0.25">
      <c r="A6" s="6">
        <v>2</v>
      </c>
      <c r="B6" s="7" t="s">
        <v>46</v>
      </c>
      <c r="C6" s="6" t="s">
        <v>36</v>
      </c>
      <c r="D6" s="6" t="s">
        <v>37</v>
      </c>
      <c r="E6" s="6" t="s">
        <v>47</v>
      </c>
      <c r="F6" s="6" t="s">
        <v>39</v>
      </c>
      <c r="G6" s="6"/>
      <c r="H6" s="10" t="s">
        <v>179</v>
      </c>
      <c r="I6" s="6" t="s">
        <v>48</v>
      </c>
      <c r="J6" s="6"/>
      <c r="K6" s="6" t="s">
        <v>49</v>
      </c>
      <c r="L6" s="6" t="s">
        <v>50</v>
      </c>
      <c r="M6" s="6" t="s">
        <v>51</v>
      </c>
      <c r="N6" s="8" t="s">
        <v>45</v>
      </c>
      <c r="O6" s="8"/>
      <c r="P6" s="8"/>
    </row>
    <row r="7" spans="1:16" ht="96" customHeight="1" x14ac:dyDescent="0.25">
      <c r="A7" s="6">
        <v>3</v>
      </c>
      <c r="B7" s="7" t="s">
        <v>52</v>
      </c>
      <c r="C7" s="6" t="s">
        <v>36</v>
      </c>
      <c r="D7" s="6" t="s">
        <v>37</v>
      </c>
      <c r="E7" s="6" t="s">
        <v>53</v>
      </c>
      <c r="F7" s="6" t="s">
        <v>39</v>
      </c>
      <c r="G7" s="6"/>
      <c r="H7" s="10" t="s">
        <v>178</v>
      </c>
      <c r="I7" s="6" t="s">
        <v>54</v>
      </c>
      <c r="J7" s="6"/>
      <c r="K7" s="6" t="s">
        <v>55</v>
      </c>
      <c r="L7" s="6" t="s">
        <v>56</v>
      </c>
      <c r="M7" s="6" t="s">
        <v>57</v>
      </c>
      <c r="N7" s="8" t="s">
        <v>45</v>
      </c>
      <c r="O7" s="8"/>
      <c r="P7" s="8"/>
    </row>
    <row r="8" spans="1:16" ht="96" customHeight="1" x14ac:dyDescent="0.25">
      <c r="A8" s="6">
        <v>4</v>
      </c>
      <c r="B8" s="7" t="s">
        <v>58</v>
      </c>
      <c r="C8" s="6" t="s">
        <v>36</v>
      </c>
      <c r="D8" s="6" t="s">
        <v>37</v>
      </c>
      <c r="E8" s="6" t="s">
        <v>59</v>
      </c>
      <c r="F8" s="6" t="s">
        <v>39</v>
      </c>
      <c r="G8" s="6"/>
      <c r="H8" s="6" t="s">
        <v>60</v>
      </c>
      <c r="I8" s="6" t="s">
        <v>61</v>
      </c>
      <c r="J8" s="6"/>
      <c r="K8" s="6" t="s">
        <v>62</v>
      </c>
      <c r="L8" s="6" t="s">
        <v>56</v>
      </c>
      <c r="M8" s="6"/>
      <c r="N8" s="8" t="s">
        <v>45</v>
      </c>
      <c r="O8" s="8"/>
      <c r="P8" s="8"/>
    </row>
    <row r="9" spans="1:16" ht="96" customHeight="1" x14ac:dyDescent="0.25">
      <c r="A9" s="6">
        <v>5</v>
      </c>
      <c r="B9" s="7" t="s">
        <v>63</v>
      </c>
      <c r="C9" s="6" t="s">
        <v>36</v>
      </c>
      <c r="D9" s="6" t="s">
        <v>37</v>
      </c>
      <c r="E9" s="6" t="s">
        <v>64</v>
      </c>
      <c r="F9" s="6" t="s">
        <v>39</v>
      </c>
      <c r="G9" s="6"/>
      <c r="H9" s="6" t="s">
        <v>65</v>
      </c>
      <c r="I9" s="6" t="s">
        <v>66</v>
      </c>
      <c r="J9" s="6"/>
      <c r="K9" s="6" t="s">
        <v>67</v>
      </c>
      <c r="L9" s="6" t="s">
        <v>56</v>
      </c>
      <c r="M9" s="6"/>
      <c r="N9" s="8" t="s">
        <v>45</v>
      </c>
      <c r="O9" s="8"/>
      <c r="P9" s="8"/>
    </row>
    <row r="10" spans="1:16" ht="96" customHeight="1" x14ac:dyDescent="0.25">
      <c r="A10" s="6">
        <v>6</v>
      </c>
      <c r="B10" s="7" t="s">
        <v>68</v>
      </c>
      <c r="C10" s="6" t="s">
        <v>69</v>
      </c>
      <c r="D10" s="6" t="s">
        <v>37</v>
      </c>
      <c r="E10" s="6" t="s">
        <v>70</v>
      </c>
      <c r="F10" s="6" t="s">
        <v>39</v>
      </c>
      <c r="G10" s="6"/>
      <c r="H10" s="10" t="s">
        <v>177</v>
      </c>
      <c r="I10" s="6" t="s">
        <v>71</v>
      </c>
      <c r="J10" s="6" t="s">
        <v>72</v>
      </c>
      <c r="K10" s="6" t="s">
        <v>73</v>
      </c>
      <c r="L10" s="6" t="s">
        <v>74</v>
      </c>
      <c r="M10" s="6" t="s">
        <v>75</v>
      </c>
      <c r="N10" s="8" t="s">
        <v>45</v>
      </c>
      <c r="O10" s="8"/>
      <c r="P10" s="8"/>
    </row>
    <row r="11" spans="1:16" ht="96" customHeight="1" x14ac:dyDescent="0.25">
      <c r="A11" s="6">
        <v>7</v>
      </c>
      <c r="B11" s="7" t="s">
        <v>76</v>
      </c>
      <c r="C11" s="6" t="s">
        <v>69</v>
      </c>
      <c r="D11" s="6" t="s">
        <v>77</v>
      </c>
      <c r="E11" s="6" t="s">
        <v>78</v>
      </c>
      <c r="F11" s="10" t="s">
        <v>176</v>
      </c>
      <c r="G11" s="6" t="s">
        <v>79</v>
      </c>
      <c r="H11" s="10" t="s">
        <v>174</v>
      </c>
      <c r="I11" s="6" t="s">
        <v>80</v>
      </c>
      <c r="J11" s="6" t="s">
        <v>72</v>
      </c>
      <c r="K11" s="6" t="s">
        <v>81</v>
      </c>
      <c r="L11" s="6" t="s">
        <v>82</v>
      </c>
      <c r="M11" s="6" t="s">
        <v>83</v>
      </c>
      <c r="N11" s="8" t="s">
        <v>45</v>
      </c>
      <c r="O11" s="8"/>
      <c r="P11" s="8"/>
    </row>
    <row r="12" spans="1:16" ht="96" customHeight="1" x14ac:dyDescent="0.25">
      <c r="A12" s="6">
        <v>8</v>
      </c>
      <c r="B12" s="7" t="s">
        <v>84</v>
      </c>
      <c r="C12" s="6" t="s">
        <v>69</v>
      </c>
      <c r="D12" s="6" t="s">
        <v>77</v>
      </c>
      <c r="E12" s="6" t="s">
        <v>85</v>
      </c>
      <c r="F12" s="6" t="s">
        <v>39</v>
      </c>
      <c r="G12" s="6"/>
      <c r="H12" s="10" t="s">
        <v>175</v>
      </c>
      <c r="I12" s="6" t="s">
        <v>86</v>
      </c>
      <c r="J12" s="6" t="s">
        <v>72</v>
      </c>
      <c r="K12" s="6" t="s">
        <v>87</v>
      </c>
      <c r="L12" s="6" t="s">
        <v>74</v>
      </c>
      <c r="M12" s="6" t="s">
        <v>88</v>
      </c>
      <c r="N12" s="8" t="s">
        <v>45</v>
      </c>
      <c r="O12" s="8"/>
      <c r="P12" s="8"/>
    </row>
    <row r="13" spans="1:16" ht="96" customHeight="1" x14ac:dyDescent="0.25">
      <c r="A13" s="6">
        <v>9</v>
      </c>
      <c r="B13" s="7" t="s">
        <v>89</v>
      </c>
      <c r="C13" s="6" t="s">
        <v>36</v>
      </c>
      <c r="D13" s="6" t="s">
        <v>90</v>
      </c>
      <c r="E13" s="6" t="s">
        <v>91</v>
      </c>
      <c r="F13" s="6" t="s">
        <v>92</v>
      </c>
      <c r="G13" s="6"/>
      <c r="H13" s="10" t="s">
        <v>172</v>
      </c>
      <c r="I13" s="6" t="s">
        <v>71</v>
      </c>
      <c r="J13" s="6"/>
      <c r="K13" s="6" t="s">
        <v>93</v>
      </c>
      <c r="L13" s="6" t="s">
        <v>94</v>
      </c>
      <c r="M13" s="6" t="s">
        <v>95</v>
      </c>
      <c r="N13" s="8" t="s">
        <v>45</v>
      </c>
      <c r="O13" s="8"/>
      <c r="P13" s="8"/>
    </row>
    <row r="14" spans="1:16" ht="96" customHeight="1" x14ac:dyDescent="0.25">
      <c r="A14" s="6">
        <v>10</v>
      </c>
      <c r="B14" s="7" t="s">
        <v>96</v>
      </c>
      <c r="C14" s="6" t="s">
        <v>36</v>
      </c>
      <c r="D14" s="6" t="s">
        <v>90</v>
      </c>
      <c r="E14" s="6" t="s">
        <v>97</v>
      </c>
      <c r="F14" s="6" t="s">
        <v>98</v>
      </c>
      <c r="G14" s="6"/>
      <c r="H14" s="10" t="s">
        <v>173</v>
      </c>
      <c r="I14" s="6" t="s">
        <v>71</v>
      </c>
      <c r="J14" s="6"/>
      <c r="K14" s="6" t="s">
        <v>93</v>
      </c>
      <c r="L14" s="6" t="s">
        <v>99</v>
      </c>
      <c r="M14" s="6"/>
      <c r="N14" s="8" t="s">
        <v>45</v>
      </c>
      <c r="O14" s="8"/>
      <c r="P14" s="8"/>
    </row>
  </sheetData>
  <dataValidations count="1">
    <dataValidation type="list" allowBlank="1" sqref="N5:N14" xr:uid="{00000000-0002-0000-0100-000000000000}">
      <formula1>"Borrador,Enviada,Aprobada,Rechazada,En pausa"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6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baseColWidth="10" defaultColWidth="8.7109375" defaultRowHeight="15" x14ac:dyDescent="0.25"/>
  <cols>
    <col min="1" max="1" width="34" customWidth="1"/>
    <col min="2" max="2" width="14" customWidth="1"/>
    <col min="3" max="3" width="12" customWidth="1"/>
    <col min="4" max="7" width="14" customWidth="1"/>
    <col min="8" max="9" width="16" customWidth="1"/>
    <col min="10" max="12" width="14" customWidth="1"/>
  </cols>
  <sheetData>
    <row r="1" spans="1:12" ht="18" x14ac:dyDescent="0.25">
      <c r="A1" s="1" t="s">
        <v>100</v>
      </c>
    </row>
    <row r="2" spans="1:12" x14ac:dyDescent="0.25">
      <c r="A2" s="4" t="s">
        <v>101</v>
      </c>
    </row>
    <row r="4" spans="1:12" ht="31.5" customHeight="1" x14ac:dyDescent="0.25">
      <c r="A4" s="5" t="s">
        <v>102</v>
      </c>
      <c r="B4" s="5" t="s">
        <v>103</v>
      </c>
      <c r="C4" s="5" t="s">
        <v>104</v>
      </c>
      <c r="D4" s="5" t="s">
        <v>105</v>
      </c>
      <c r="E4" s="5" t="s">
        <v>106</v>
      </c>
      <c r="F4" s="5" t="s">
        <v>107</v>
      </c>
      <c r="G4" s="5" t="s">
        <v>108</v>
      </c>
      <c r="H4" s="5" t="s">
        <v>109</v>
      </c>
      <c r="I4" s="5" t="s">
        <v>110</v>
      </c>
      <c r="J4" s="5" t="s">
        <v>111</v>
      </c>
      <c r="K4" s="5" t="s">
        <v>112</v>
      </c>
      <c r="L4" s="5" t="s">
        <v>113</v>
      </c>
    </row>
    <row r="5" spans="1:12" x14ac:dyDescent="0.25">
      <c r="A5" s="6" t="str">
        <f>'Plantillas Meta'!B5</f>
        <v>jndelt_recordatorio_agendar</v>
      </c>
      <c r="B5" s="9">
        <f>LEN('Plantillas Meta'!H5)</f>
        <v>147</v>
      </c>
      <c r="C5" s="9" t="str">
        <f>IF(ISNUMBER(SEARCH("JNdelT",'Plantillas Meta'!H5)),"Sí","No")</f>
        <v>Sí</v>
      </c>
      <c r="D5" s="9">
        <f>LEN('Plantillas Meta'!H5)-LEN(SUBSTITUTE('Plantillas Meta'!H5,"?",""))</f>
        <v>1</v>
      </c>
      <c r="E5" s="9">
        <v>2</v>
      </c>
      <c r="F5" s="9" t="str">
        <f>IF(ISNUMBER(SEARCH("usted",'Plantillas Meta'!H5)),"Revisar","Sí")</f>
        <v>Sí</v>
      </c>
      <c r="G5" s="9" t="s">
        <v>114</v>
      </c>
      <c r="H5" s="9" t="str">
        <f>IF(LEFT(TRIM('Plantillas Meta'!H5),2)="{{","No","Sí")</f>
        <v>Sí</v>
      </c>
      <c r="I5" s="9" t="str">
        <f>IF(RIGHT(TRIM('Plantillas Meta'!H5),2)="}}","No","Sí")</f>
        <v>Sí</v>
      </c>
      <c r="J5" s="9" t="str">
        <f>IF(ISNUMBER(SEARCH("{{1}}",'Plantillas Meta'!H5)),"Sí","No")</f>
        <v>Sí</v>
      </c>
      <c r="K5" s="9" t="str">
        <f>IF(ISNUMBER(SEARCH("correo",'Plantillas Meta'!H5)),"Revisar","Sí")</f>
        <v>Sí</v>
      </c>
      <c r="L5" s="9" t="str">
        <f t="shared" ref="L5:L14" si="0">IF(AND(B5&lt;=1024,C5="Sí",D5&lt;=1,E5&lt;=3,F5="Sí",G5="Sí",H5="Sí",I5="Sí",K5="Sí"),"Cumple","Revisar")</f>
        <v>Cumple</v>
      </c>
    </row>
    <row r="6" spans="1:12" x14ac:dyDescent="0.25">
      <c r="A6" s="6" t="str">
        <f>'Plantillas Meta'!B6</f>
        <v>jndelt_recordatorio_cita</v>
      </c>
      <c r="B6" s="9">
        <f>LEN('Plantillas Meta'!H6)</f>
        <v>164</v>
      </c>
      <c r="C6" s="9" t="str">
        <f>IF(ISNUMBER(SEARCH("JNdelT",'Plantillas Meta'!H6)),"Sí","No")</f>
        <v>Sí</v>
      </c>
      <c r="D6" s="9">
        <f>LEN('Plantillas Meta'!H6)-LEN(SUBSTITUTE('Plantillas Meta'!H6,"?",""))</f>
        <v>0</v>
      </c>
      <c r="E6" s="9">
        <v>2</v>
      </c>
      <c r="F6" s="9" t="str">
        <f>IF(ISNUMBER(SEARCH("usted",'Plantillas Meta'!H6)),"Revisar","Sí")</f>
        <v>Sí</v>
      </c>
      <c r="G6" s="9" t="s">
        <v>114</v>
      </c>
      <c r="H6" s="9" t="str">
        <f>IF(LEFT(TRIM('Plantillas Meta'!H6),2)="{{","No","Sí")</f>
        <v>Sí</v>
      </c>
      <c r="I6" s="9" t="str">
        <f>IF(RIGHT(TRIM('Plantillas Meta'!H6),2)="}}","No","Sí")</f>
        <v>Sí</v>
      </c>
      <c r="J6" s="9" t="str">
        <f>IF(ISNUMBER(SEARCH("{{1}}",'Plantillas Meta'!H6)),"Sí","No")</f>
        <v>Sí</v>
      </c>
      <c r="K6" s="9" t="str">
        <f>IF(ISNUMBER(SEARCH("correo",'Plantillas Meta'!H6)),"Revisar","Sí")</f>
        <v>Sí</v>
      </c>
      <c r="L6" s="9" t="str">
        <f t="shared" si="0"/>
        <v>Cumple</v>
      </c>
    </row>
    <row r="7" spans="1:12" x14ac:dyDescent="0.25">
      <c r="A7" s="6" t="str">
        <f>'Plantillas Meta'!B7</f>
        <v>jndelt_cita_confirmada</v>
      </c>
      <c r="B7" s="9">
        <f>LEN('Plantillas Meta'!H7)</f>
        <v>158</v>
      </c>
      <c r="C7" s="9" t="str">
        <f>IF(ISNUMBER(SEARCH("JNdelT",'Plantillas Meta'!H7)),"Sí","No")</f>
        <v>Sí</v>
      </c>
      <c r="D7" s="9">
        <f>LEN('Plantillas Meta'!H7)-LEN(SUBSTITUTE('Plantillas Meta'!H7,"?",""))</f>
        <v>0</v>
      </c>
      <c r="E7" s="9">
        <v>2</v>
      </c>
      <c r="F7" s="9" t="str">
        <f>IF(ISNUMBER(SEARCH("usted",'Plantillas Meta'!H7)),"Revisar","Sí")</f>
        <v>Sí</v>
      </c>
      <c r="G7" s="9" t="s">
        <v>114</v>
      </c>
      <c r="H7" s="9" t="str">
        <f>IF(LEFT(TRIM('Plantillas Meta'!H7),2)="{{","No","Sí")</f>
        <v>Sí</v>
      </c>
      <c r="I7" s="9" t="str">
        <f>IF(RIGHT(TRIM('Plantillas Meta'!H7),2)="}}","No","Sí")</f>
        <v>Sí</v>
      </c>
      <c r="J7" s="9" t="str">
        <f>IF(ISNUMBER(SEARCH("{{1}}",'Plantillas Meta'!H7)),"Sí","No")</f>
        <v>Sí</v>
      </c>
      <c r="K7" s="9" t="str">
        <f>IF(ISNUMBER(SEARCH("correo",'Plantillas Meta'!H7)),"Revisar","Sí")</f>
        <v>Sí</v>
      </c>
      <c r="L7" s="9" t="str">
        <f t="shared" si="0"/>
        <v>Cumple</v>
      </c>
    </row>
    <row r="8" spans="1:12" x14ac:dyDescent="0.25">
      <c r="A8" s="6" t="str">
        <f>'Plantillas Meta'!B8</f>
        <v>jndelt_cita_reprogramada</v>
      </c>
      <c r="B8" s="9">
        <f>LEN('Plantillas Meta'!H8)</f>
        <v>142</v>
      </c>
      <c r="C8" s="9" t="str">
        <f>IF(ISNUMBER(SEARCH("JNdelT",'Plantillas Meta'!H8)),"Sí","No")</f>
        <v>Sí</v>
      </c>
      <c r="D8" s="9">
        <f>LEN('Plantillas Meta'!H8)-LEN(SUBSTITUTE('Plantillas Meta'!H8,"?",""))</f>
        <v>0</v>
      </c>
      <c r="E8" s="9">
        <v>2</v>
      </c>
      <c r="F8" s="9" t="str">
        <f>IF(ISNUMBER(SEARCH("usted",'Plantillas Meta'!H8)),"Revisar","Sí")</f>
        <v>Sí</v>
      </c>
      <c r="G8" s="9" t="s">
        <v>114</v>
      </c>
      <c r="H8" s="9" t="str">
        <f>IF(LEFT(TRIM('Plantillas Meta'!H8),2)="{{","No","Sí")</f>
        <v>Sí</v>
      </c>
      <c r="I8" s="9" t="str">
        <f>IF(RIGHT(TRIM('Plantillas Meta'!H8),2)="}}","No","Sí")</f>
        <v>Sí</v>
      </c>
      <c r="J8" s="9" t="str">
        <f>IF(ISNUMBER(SEARCH("{{1}}",'Plantillas Meta'!H8)),"Sí","No")</f>
        <v>Sí</v>
      </c>
      <c r="K8" s="9" t="str">
        <f>IF(ISNUMBER(SEARCH("correo",'Plantillas Meta'!H8)),"Revisar","Sí")</f>
        <v>Sí</v>
      </c>
      <c r="L8" s="9" t="str">
        <f t="shared" si="0"/>
        <v>Cumple</v>
      </c>
    </row>
    <row r="9" spans="1:12" x14ac:dyDescent="0.25">
      <c r="A9" s="6" t="str">
        <f>'Plantillas Meta'!B9</f>
        <v>jndelt_cita_cancelada</v>
      </c>
      <c r="B9" s="9">
        <f>LEN('Plantillas Meta'!H9)</f>
        <v>108</v>
      </c>
      <c r="C9" s="9" t="str">
        <f>IF(ISNUMBER(SEARCH("JNdelT",'Plantillas Meta'!H9)),"Sí","No")</f>
        <v>Sí</v>
      </c>
      <c r="D9" s="9">
        <f>LEN('Plantillas Meta'!H9)-LEN(SUBSTITUTE('Plantillas Meta'!H9,"?",""))</f>
        <v>1</v>
      </c>
      <c r="E9" s="9">
        <v>2</v>
      </c>
      <c r="F9" s="9" t="str">
        <f>IF(ISNUMBER(SEARCH("usted",'Plantillas Meta'!H9)),"Revisar","Sí")</f>
        <v>Sí</v>
      </c>
      <c r="G9" s="9" t="s">
        <v>114</v>
      </c>
      <c r="H9" s="9" t="str">
        <f>IF(LEFT(TRIM('Plantillas Meta'!H9),2)="{{","No","Sí")</f>
        <v>Sí</v>
      </c>
      <c r="I9" s="9" t="str">
        <f>IF(RIGHT(TRIM('Plantillas Meta'!H9),2)="}}","No","Sí")</f>
        <v>Sí</v>
      </c>
      <c r="J9" s="9" t="str">
        <f>IF(ISNUMBER(SEARCH("{{1}}",'Plantillas Meta'!H9)),"Sí","No")</f>
        <v>Sí</v>
      </c>
      <c r="K9" s="9" t="str">
        <f>IF(ISNUMBER(SEARCH("correo",'Plantillas Meta'!H9)),"Revisar","Sí")</f>
        <v>Sí</v>
      </c>
      <c r="L9" s="9" t="str">
        <f t="shared" si="0"/>
        <v>Cumple</v>
      </c>
    </row>
    <row r="10" spans="1:12" x14ac:dyDescent="0.25">
      <c r="A10" s="6" t="str">
        <f>'Plantillas Meta'!B10</f>
        <v>jndelt_retomar_conversacion</v>
      </c>
      <c r="B10" s="9">
        <f>LEN('Plantillas Meta'!H10)</f>
        <v>88</v>
      </c>
      <c r="C10" s="9" t="str">
        <f>IF(ISNUMBER(SEARCH("JNdelT",'Plantillas Meta'!H10)),"Sí","No")</f>
        <v>No</v>
      </c>
      <c r="D10" s="9">
        <f>LEN('Plantillas Meta'!H10)-LEN(SUBSTITUTE('Plantillas Meta'!H10,"?",""))</f>
        <v>1</v>
      </c>
      <c r="E10" s="9">
        <v>2</v>
      </c>
      <c r="F10" s="9" t="str">
        <f>IF(ISNUMBER(SEARCH("usted",'Plantillas Meta'!H10)),"Revisar","Sí")</f>
        <v>Sí</v>
      </c>
      <c r="G10" s="9" t="s">
        <v>114</v>
      </c>
      <c r="H10" s="9" t="str">
        <f>IF(LEFT(TRIM('Plantillas Meta'!H10),2)="{{","No","Sí")</f>
        <v>Sí</v>
      </c>
      <c r="I10" s="9" t="str">
        <f>IF(RIGHT(TRIM('Plantillas Meta'!H10),2)="}}","No","Sí")</f>
        <v>Sí</v>
      </c>
      <c r="J10" s="9" t="str">
        <f>IF(ISNUMBER(SEARCH("{{1}}",'Plantillas Meta'!H10)),"Sí","No")</f>
        <v>Sí</v>
      </c>
      <c r="K10" s="9" t="str">
        <f>IF(ISNUMBER(SEARCH("correo",'Plantillas Meta'!H10)),"Revisar","Sí")</f>
        <v>Sí</v>
      </c>
      <c r="L10" s="9" t="str">
        <f t="shared" si="0"/>
        <v>Revisar</v>
      </c>
    </row>
    <row r="11" spans="1:12" x14ac:dyDescent="0.25">
      <c r="A11" s="6" t="str">
        <f>'Plantillas Meta'!B11</f>
        <v>jndelt_dossier</v>
      </c>
      <c r="B11" s="9">
        <f>LEN('Plantillas Meta'!H11)</f>
        <v>607</v>
      </c>
      <c r="C11" s="9" t="str">
        <f>IF(ISNUMBER(SEARCH("JNdelT",'Plantillas Meta'!H11)),"Sí","No")</f>
        <v>Sí</v>
      </c>
      <c r="D11" s="9">
        <f>LEN('Plantillas Meta'!H11)-LEN(SUBSTITUTE('Plantillas Meta'!H11,"?",""))</f>
        <v>0</v>
      </c>
      <c r="E11" s="9">
        <v>2</v>
      </c>
      <c r="F11" s="9" t="str">
        <f>IF(ISNUMBER(SEARCH("usted",'Plantillas Meta'!H11)),"Revisar","Sí")</f>
        <v>Sí</v>
      </c>
      <c r="G11" s="9" t="s">
        <v>114</v>
      </c>
      <c r="H11" s="9" t="str">
        <f>IF(LEFT(TRIM('Plantillas Meta'!H11),2)="{{","No","Sí")</f>
        <v>Sí</v>
      </c>
      <c r="I11" s="9" t="str">
        <f>IF(RIGHT(TRIM('Plantillas Meta'!H11),2)="}}","No","Sí")</f>
        <v>Sí</v>
      </c>
      <c r="J11" s="9" t="str">
        <f>IF(ISNUMBER(SEARCH("{{1}}",'Plantillas Meta'!H11)),"Sí","No")</f>
        <v>Sí</v>
      </c>
      <c r="K11" s="9" t="str">
        <f>IF(ISNUMBER(SEARCH("correo",'Plantillas Meta'!H11)),"Revisar","Sí")</f>
        <v>Sí</v>
      </c>
      <c r="L11" s="9" t="str">
        <f t="shared" si="0"/>
        <v>Cumple</v>
      </c>
    </row>
    <row r="12" spans="1:12" x14ac:dyDescent="0.25">
      <c r="A12" s="6" t="str">
        <f>'Plantillas Meta'!B12</f>
        <v>jndelt_reenganche</v>
      </c>
      <c r="B12" s="9">
        <f>LEN('Plantillas Meta'!H12)</f>
        <v>131</v>
      </c>
      <c r="C12" s="9" t="str">
        <f>IF(ISNUMBER(SEARCH("JNdelT",'Plantillas Meta'!H12)),"Sí","No")</f>
        <v>Sí</v>
      </c>
      <c r="D12" s="9">
        <f>LEN('Plantillas Meta'!H12)-LEN(SUBSTITUTE('Plantillas Meta'!H12,"?",""))</f>
        <v>1</v>
      </c>
      <c r="E12" s="9">
        <v>2</v>
      </c>
      <c r="F12" s="9" t="str">
        <f>IF(ISNUMBER(SEARCH("usted",'Plantillas Meta'!H12)),"Revisar","Sí")</f>
        <v>Sí</v>
      </c>
      <c r="G12" s="9" t="s">
        <v>114</v>
      </c>
      <c r="H12" s="9" t="str">
        <f>IF(LEFT(TRIM('Plantillas Meta'!H12),2)="{{","No","Sí")</f>
        <v>Sí</v>
      </c>
      <c r="I12" s="9" t="str">
        <f>IF(RIGHT(TRIM('Plantillas Meta'!H12),2)="}}","No","Sí")</f>
        <v>Sí</v>
      </c>
      <c r="J12" s="9" t="str">
        <f>IF(ISNUMBER(SEARCH("{{1}}",'Plantillas Meta'!H12)),"Sí","No")</f>
        <v>Sí</v>
      </c>
      <c r="K12" s="9" t="str">
        <f>IF(ISNUMBER(SEARCH("correo",'Plantillas Meta'!H12)),"Revisar","Sí")</f>
        <v>Sí</v>
      </c>
      <c r="L12" s="9" t="str">
        <f t="shared" si="0"/>
        <v>Cumple</v>
      </c>
    </row>
    <row r="13" spans="1:12" ht="25.5" x14ac:dyDescent="0.25">
      <c r="A13" s="6" t="str">
        <f>'Plantillas Meta'!B13</f>
        <v>jndelt_bienvenida_formulario_propietario</v>
      </c>
      <c r="B13" s="9">
        <f>LEN('Plantillas Meta'!H13)</f>
        <v>333</v>
      </c>
      <c r="C13" s="9" t="str">
        <f>IF(ISNUMBER(SEARCH("JNdelT",'Plantillas Meta'!H13)),"Sí","No")</f>
        <v>Sí</v>
      </c>
      <c r="D13" s="9">
        <f>LEN('Plantillas Meta'!H13)-LEN(SUBSTITUTE('Plantillas Meta'!H13,"?",""))</f>
        <v>2</v>
      </c>
      <c r="E13" s="9">
        <v>3</v>
      </c>
      <c r="F13" s="9" t="str">
        <f>IF(ISNUMBER(SEARCH("usted",'Plantillas Meta'!H13)),"Revisar","Sí")</f>
        <v>Sí</v>
      </c>
      <c r="G13" s="9" t="s">
        <v>114</v>
      </c>
      <c r="H13" s="9" t="str">
        <f>IF(LEFT(TRIM('Plantillas Meta'!H13),2)="{{","No","Sí")</f>
        <v>Sí</v>
      </c>
      <c r="I13" s="9" t="str">
        <f>IF(RIGHT(TRIM('Plantillas Meta'!H13),2)="}}","No","Sí")</f>
        <v>Sí</v>
      </c>
      <c r="J13" s="9" t="str">
        <f>IF(ISNUMBER(SEARCH("{{1}}",'Plantillas Meta'!H13)),"Sí","No")</f>
        <v>Sí</v>
      </c>
      <c r="K13" s="9" t="str">
        <f>IF(ISNUMBER(SEARCH("correo",'Plantillas Meta'!H13)),"Revisar","Sí")</f>
        <v>Sí</v>
      </c>
      <c r="L13" s="9" t="str">
        <f t="shared" si="0"/>
        <v>Revisar</v>
      </c>
    </row>
    <row r="14" spans="1:12" ht="25.5" x14ac:dyDescent="0.25">
      <c r="A14" s="6" t="str">
        <f>'Plantillas Meta'!B14</f>
        <v>jndelt_bienvenida_formulario_comprador</v>
      </c>
      <c r="B14" s="9">
        <f>LEN('Plantillas Meta'!H14)</f>
        <v>433</v>
      </c>
      <c r="C14" s="9" t="str">
        <f>IF(ISNUMBER(SEARCH("JNdelT",'Plantillas Meta'!H14)),"Sí","No")</f>
        <v>Sí</v>
      </c>
      <c r="D14" s="9">
        <f>LEN('Plantillas Meta'!H14)-LEN(SUBSTITUTE('Plantillas Meta'!H14,"?",""))</f>
        <v>2</v>
      </c>
      <c r="E14" s="9">
        <v>3</v>
      </c>
      <c r="F14" s="9" t="str">
        <f>IF(ISNUMBER(SEARCH("usted",'Plantillas Meta'!H14)),"Revisar","Sí")</f>
        <v>Sí</v>
      </c>
      <c r="G14" s="9" t="s">
        <v>114</v>
      </c>
      <c r="H14" s="9" t="str">
        <f>IF(LEFT(TRIM('Plantillas Meta'!H14),2)="{{","No","Sí")</f>
        <v>Sí</v>
      </c>
      <c r="I14" s="9" t="str">
        <f>IF(RIGHT(TRIM('Plantillas Meta'!H14),2)="}}","No","Sí")</f>
        <v>Sí</v>
      </c>
      <c r="J14" s="9" t="str">
        <f>IF(ISNUMBER(SEARCH("{{1}}",'Plantillas Meta'!H14)),"Sí","No")</f>
        <v>Sí</v>
      </c>
      <c r="K14" s="9" t="str">
        <f>IF(ISNUMBER(SEARCH("correo",'Plantillas Meta'!H14)),"Revisar","Sí")</f>
        <v>Sí</v>
      </c>
      <c r="L14" s="9" t="str">
        <f t="shared" si="0"/>
        <v>Revisar</v>
      </c>
    </row>
    <row r="16" spans="1:12" x14ac:dyDescent="0.25">
      <c r="A16" s="2" t="s">
        <v>115</v>
      </c>
      <c r="B16" s="2" t="str">
        <f>COUNTIF(L5:L14,"Cumple")&amp;" de "&amp;COUNTA(A5:A14)</f>
        <v>7 de 10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9"/>
  <sheetViews>
    <sheetView zoomScaleNormal="100" workbookViewId="0">
      <pane xSplit="2" ySplit="4" topLeftCell="C12" activePane="bottomRight" state="frozen"/>
      <selection pane="topRight" activeCell="C1" sqref="C1"/>
      <selection pane="bottomLeft" activeCell="A5" sqref="A5"/>
      <selection pane="bottomRight"/>
    </sheetView>
  </sheetViews>
  <sheetFormatPr baseColWidth="10" defaultColWidth="8.7109375" defaultRowHeight="15" x14ac:dyDescent="0.25"/>
  <cols>
    <col min="1" max="1" width="22" customWidth="1"/>
    <col min="2" max="2" width="9" customWidth="1"/>
    <col min="3" max="3" width="60" customWidth="1"/>
    <col min="4" max="4" width="8" customWidth="1"/>
    <col min="5" max="5" width="10" customWidth="1"/>
    <col min="6" max="6" width="40" customWidth="1"/>
    <col min="7" max="7" width="60" customWidth="1"/>
    <col min="8" max="8" width="12" customWidth="1"/>
  </cols>
  <sheetData>
    <row r="1" spans="1:8" ht="18" x14ac:dyDescent="0.25">
      <c r="A1" s="1" t="s">
        <v>116</v>
      </c>
    </row>
    <row r="2" spans="1:8" x14ac:dyDescent="0.25">
      <c r="A2" s="4" t="s">
        <v>117</v>
      </c>
    </row>
    <row r="4" spans="1:8" ht="31.5" customHeight="1" x14ac:dyDescent="0.25">
      <c r="A4" s="5" t="s">
        <v>118</v>
      </c>
      <c r="B4" s="5" t="s">
        <v>24</v>
      </c>
      <c r="C4" s="5" t="s">
        <v>119</v>
      </c>
      <c r="D4" s="5" t="s">
        <v>120</v>
      </c>
      <c r="E4" s="5" t="s">
        <v>121</v>
      </c>
      <c r="F4" s="5" t="s">
        <v>122</v>
      </c>
      <c r="G4" s="5" t="s">
        <v>123</v>
      </c>
      <c r="H4" s="5" t="s">
        <v>124</v>
      </c>
    </row>
    <row r="5" spans="1:8" ht="78" customHeight="1" x14ac:dyDescent="0.25">
      <c r="A5" s="6" t="s">
        <v>125</v>
      </c>
      <c r="B5" s="6" t="s">
        <v>126</v>
      </c>
      <c r="C5" s="6" t="s">
        <v>127</v>
      </c>
      <c r="D5" s="6">
        <v>4</v>
      </c>
      <c r="E5" s="6">
        <f t="shared" ref="E5:E19" si="0">LEN(C5)-LEN(SUBSTITUTE(C5,"?",""))</f>
        <v>1</v>
      </c>
      <c r="F5" s="6" t="s">
        <v>128</v>
      </c>
      <c r="G5" s="6" t="s">
        <v>129</v>
      </c>
      <c r="H5" s="8"/>
    </row>
    <row r="6" spans="1:8" ht="78" customHeight="1" x14ac:dyDescent="0.25">
      <c r="A6" s="6" t="s">
        <v>125</v>
      </c>
      <c r="B6" s="6" t="s">
        <v>130</v>
      </c>
      <c r="C6" s="6" t="s">
        <v>131</v>
      </c>
      <c r="D6" s="6">
        <v>4</v>
      </c>
      <c r="E6" s="6">
        <f t="shared" si="0"/>
        <v>1</v>
      </c>
      <c r="F6" s="6" t="s">
        <v>128</v>
      </c>
      <c r="G6" s="6" t="s">
        <v>129</v>
      </c>
      <c r="H6" s="8"/>
    </row>
    <row r="7" spans="1:8" ht="78" customHeight="1" x14ac:dyDescent="0.25">
      <c r="A7" s="6" t="s">
        <v>132</v>
      </c>
      <c r="B7" s="6" t="s">
        <v>133</v>
      </c>
      <c r="C7" s="6" t="s">
        <v>134</v>
      </c>
      <c r="D7" s="6">
        <v>3</v>
      </c>
      <c r="E7" s="6">
        <f t="shared" si="0"/>
        <v>0</v>
      </c>
      <c r="F7" s="6" t="s">
        <v>135</v>
      </c>
      <c r="G7" s="6"/>
      <c r="H7" s="6" t="s">
        <v>55</v>
      </c>
    </row>
    <row r="8" spans="1:8" ht="78" customHeight="1" x14ac:dyDescent="0.25">
      <c r="A8" s="6" t="s">
        <v>136</v>
      </c>
      <c r="B8" s="6" t="s">
        <v>133</v>
      </c>
      <c r="C8" s="6" t="s">
        <v>137</v>
      </c>
      <c r="D8" s="6">
        <v>2</v>
      </c>
      <c r="E8" s="6">
        <f t="shared" si="0"/>
        <v>0</v>
      </c>
      <c r="F8" s="6" t="s">
        <v>138</v>
      </c>
      <c r="G8" s="6" t="s">
        <v>139</v>
      </c>
      <c r="H8" s="8"/>
    </row>
    <row r="9" spans="1:8" ht="78" customHeight="1" x14ac:dyDescent="0.25">
      <c r="A9" s="6" t="s">
        <v>140</v>
      </c>
      <c r="B9" s="6" t="s">
        <v>126</v>
      </c>
      <c r="C9" s="6" t="s">
        <v>141</v>
      </c>
      <c r="D9" s="6">
        <v>2</v>
      </c>
      <c r="E9" s="6">
        <f t="shared" si="0"/>
        <v>1</v>
      </c>
      <c r="F9" s="6" t="s">
        <v>142</v>
      </c>
      <c r="G9" s="6" t="s">
        <v>143</v>
      </c>
      <c r="H9" s="8"/>
    </row>
    <row r="10" spans="1:8" ht="78" customHeight="1" x14ac:dyDescent="0.25">
      <c r="A10" s="6" t="s">
        <v>144</v>
      </c>
      <c r="B10" s="6" t="s">
        <v>133</v>
      </c>
      <c r="C10" s="6" t="s">
        <v>145</v>
      </c>
      <c r="D10" s="6">
        <v>2</v>
      </c>
      <c r="E10" s="6">
        <f t="shared" si="0"/>
        <v>0</v>
      </c>
      <c r="F10" s="6" t="s">
        <v>146</v>
      </c>
      <c r="G10" s="6"/>
      <c r="H10" s="6" t="s">
        <v>55</v>
      </c>
    </row>
    <row r="11" spans="1:8" ht="78" customHeight="1" x14ac:dyDescent="0.25">
      <c r="A11" s="6" t="s">
        <v>147</v>
      </c>
      <c r="B11" s="6" t="s">
        <v>133</v>
      </c>
      <c r="C11" s="6" t="s">
        <v>148</v>
      </c>
      <c r="D11" s="6">
        <v>2</v>
      </c>
      <c r="E11" s="6">
        <f t="shared" si="0"/>
        <v>0</v>
      </c>
      <c r="F11" s="6" t="s">
        <v>135</v>
      </c>
      <c r="G11" s="6"/>
      <c r="H11" s="6" t="s">
        <v>55</v>
      </c>
    </row>
    <row r="12" spans="1:8" ht="78" customHeight="1" x14ac:dyDescent="0.25">
      <c r="A12" s="6" t="s">
        <v>149</v>
      </c>
      <c r="B12" s="6" t="s">
        <v>133</v>
      </c>
      <c r="C12" s="6" t="s">
        <v>150</v>
      </c>
      <c r="D12" s="6">
        <v>2</v>
      </c>
      <c r="E12" s="6">
        <f t="shared" si="0"/>
        <v>0</v>
      </c>
      <c r="F12" s="6" t="s">
        <v>135</v>
      </c>
      <c r="G12" s="6"/>
      <c r="H12" s="6" t="s">
        <v>55</v>
      </c>
    </row>
    <row r="13" spans="1:8" ht="78" customHeight="1" x14ac:dyDescent="0.25">
      <c r="A13" s="6" t="s">
        <v>151</v>
      </c>
      <c r="B13" s="6" t="s">
        <v>126</v>
      </c>
      <c r="C13" s="6" t="s">
        <v>152</v>
      </c>
      <c r="D13" s="6">
        <v>3</v>
      </c>
      <c r="E13" s="6">
        <f t="shared" si="0"/>
        <v>1</v>
      </c>
      <c r="F13" s="6" t="s">
        <v>153</v>
      </c>
      <c r="G13" s="6" t="s">
        <v>154</v>
      </c>
      <c r="H13" s="8"/>
    </row>
    <row r="14" spans="1:8" ht="78" customHeight="1" x14ac:dyDescent="0.25">
      <c r="A14" s="6" t="s">
        <v>151</v>
      </c>
      <c r="B14" s="6" t="s">
        <v>130</v>
      </c>
      <c r="C14" s="6" t="s">
        <v>155</v>
      </c>
      <c r="D14" s="6">
        <v>3</v>
      </c>
      <c r="E14" s="6">
        <f t="shared" si="0"/>
        <v>1</v>
      </c>
      <c r="F14" s="6" t="s">
        <v>156</v>
      </c>
      <c r="G14" s="6" t="s">
        <v>157</v>
      </c>
      <c r="H14" s="8"/>
    </row>
    <row r="15" spans="1:8" ht="78" customHeight="1" x14ac:dyDescent="0.25">
      <c r="A15" s="6" t="s">
        <v>158</v>
      </c>
      <c r="B15" s="6" t="s">
        <v>133</v>
      </c>
      <c r="C15" s="6" t="s">
        <v>159</v>
      </c>
      <c r="D15" s="6">
        <v>2</v>
      </c>
      <c r="E15" s="6">
        <f t="shared" si="0"/>
        <v>0</v>
      </c>
      <c r="F15" s="6" t="s">
        <v>160</v>
      </c>
      <c r="G15" s="6"/>
      <c r="H15" s="6" t="s">
        <v>55</v>
      </c>
    </row>
    <row r="16" spans="1:8" ht="78" customHeight="1" x14ac:dyDescent="0.25">
      <c r="A16" s="6" t="s">
        <v>161</v>
      </c>
      <c r="B16" s="6" t="s">
        <v>133</v>
      </c>
      <c r="C16" s="6" t="s">
        <v>162</v>
      </c>
      <c r="D16" s="6">
        <v>3</v>
      </c>
      <c r="E16" s="6">
        <f t="shared" si="0"/>
        <v>0</v>
      </c>
      <c r="F16" s="6" t="s">
        <v>128</v>
      </c>
      <c r="G16" s="6" t="s">
        <v>163</v>
      </c>
      <c r="H16" s="8"/>
    </row>
    <row r="17" spans="1:8" ht="78" customHeight="1" x14ac:dyDescent="0.25">
      <c r="A17" s="6" t="s">
        <v>164</v>
      </c>
      <c r="B17" s="6" t="s">
        <v>133</v>
      </c>
      <c r="C17" s="6" t="s">
        <v>165</v>
      </c>
      <c r="D17" s="6">
        <v>2</v>
      </c>
      <c r="E17" s="6">
        <f t="shared" si="0"/>
        <v>0</v>
      </c>
      <c r="F17" s="6" t="s">
        <v>166</v>
      </c>
      <c r="G17" s="6"/>
      <c r="H17" s="6" t="s">
        <v>55</v>
      </c>
    </row>
    <row r="18" spans="1:8" ht="78" customHeight="1" x14ac:dyDescent="0.25">
      <c r="A18" s="6" t="s">
        <v>167</v>
      </c>
      <c r="B18" s="6" t="s">
        <v>133</v>
      </c>
      <c r="C18" s="6" t="s">
        <v>168</v>
      </c>
      <c r="D18" s="6">
        <v>3</v>
      </c>
      <c r="E18" s="6">
        <f t="shared" si="0"/>
        <v>0</v>
      </c>
      <c r="F18" s="6" t="s">
        <v>128</v>
      </c>
      <c r="G18" s="6" t="s">
        <v>169</v>
      </c>
      <c r="H18" s="8"/>
    </row>
    <row r="19" spans="1:8" ht="78" customHeight="1" x14ac:dyDescent="0.25">
      <c r="A19" s="6" t="s">
        <v>170</v>
      </c>
      <c r="B19" s="6" t="s">
        <v>133</v>
      </c>
      <c r="C19" s="6" t="s">
        <v>171</v>
      </c>
      <c r="D19" s="6">
        <v>2</v>
      </c>
      <c r="E19" s="6">
        <f t="shared" si="0"/>
        <v>1</v>
      </c>
      <c r="F19" s="6" t="s">
        <v>135</v>
      </c>
      <c r="G19" s="6"/>
      <c r="H19" s="6" t="s">
        <v>55</v>
      </c>
    </row>
  </sheetData>
  <dataValidations count="1">
    <dataValidation type="list" allowBlank="1" sqref="H5:H6 H8:H9 H13:H14 H16 H18" xr:uid="{00000000-0002-0000-0300-000000000000}">
      <formula1>"Sí,No"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Guía</vt:lpstr>
      <vt:lpstr>Plantillas Meta</vt:lpstr>
      <vt:lpstr>Verificación</vt:lpstr>
      <vt:lpstr>Mensajes del agente(no Meta)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User</cp:lastModifiedBy>
  <cp:revision>0</cp:revision>
  <dcterms:created xsi:type="dcterms:W3CDTF">2026-10-13T17:26:31Z</dcterms:created>
  <dcterms:modified xsi:type="dcterms:W3CDTF">2026-10-21T20:43:25Z</dcterms:modified>
  <dc:language>en-US</dc:language>
</cp:coreProperties>
</file>